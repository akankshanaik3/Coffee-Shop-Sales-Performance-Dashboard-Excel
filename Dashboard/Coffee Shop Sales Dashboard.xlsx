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kank\Desktop\Coffee-Shop-Sales-Performance-Dashboard-Excel\"/>
    </mc:Choice>
  </mc:AlternateContent>
  <xr:revisionPtr revIDLastSave="0" documentId="8_{5CFF55E5-D7E6-47EA-B09F-8CA8C9A663A5}" xr6:coauthVersionLast="47" xr6:coauthVersionMax="47" xr10:uidLastSave="{00000000-0000-0000-0000-000000000000}"/>
  <bookViews>
    <workbookView xWindow="-108" yWindow="-108" windowWidth="23256" windowHeight="12456" tabRatio="1000" xr2:uid="{1C7E729E-F709-41CD-BF7F-17F976417B9A}"/>
  </bookViews>
  <sheets>
    <sheet name="Lists" sheetId="4" r:id="rId1"/>
    <sheet name="Sales_Data" sheetId="3" r:id="rId2"/>
    <sheet name="Sheet1" sheetId="7" r:id="rId3"/>
    <sheet name="Pivot" sheetId="5" r:id="rId4"/>
    <sheet name="Dashboard" sheetId="1" r:id="rId5"/>
  </sheets>
  <definedNames>
    <definedName name="Slicer_Category">#N/A</definedName>
    <definedName name="Slicer_City">#N/A</definedName>
    <definedName name="Slicer_Months__Order_Date">#N/A</definedName>
    <definedName name="Slicer_Payment_Method">#N/A</definedName>
    <definedName name="tblCities">Table214[Cities]</definedName>
    <definedName name="tblCoffeeSales">Sales_Data!$A$1:$P$1001</definedName>
    <definedName name="tblOrdertype">Table416[[#All],[Order Type]]</definedName>
    <definedName name="tblPayment">Table315[[#All],[Payment Methods]]</definedName>
    <definedName name="tblProducts">Table18[Product]</definedName>
    <definedName name="tblRating">Table517[[#All],[Customer Rating]]</definedName>
    <definedName name="tblSalespersons">Table618[[#All],[Salespersons]]</definedName>
  </definedNames>
  <calcPr calcId="191029"/>
  <pivotCaches>
    <pivotCache cacheId="34"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6" i="7" l="1"/>
  <c r="A27" i="7"/>
  <c r="A28" i="7"/>
  <c r="A29" i="7"/>
  <c r="A30" i="7"/>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2" i="3"/>
  <c r="H2" i="3"/>
  <c r="K2" i="3" s="1"/>
  <c r="L2" i="3" s="1"/>
  <c r="H4" i="3"/>
  <c r="K4" i="3" s="1"/>
  <c r="L4" i="3" s="1"/>
  <c r="H5" i="3"/>
  <c r="K5" i="3" s="1"/>
  <c r="L5" i="3" s="1"/>
  <c r="H6" i="3"/>
  <c r="K6" i="3" s="1"/>
  <c r="H7" i="3"/>
  <c r="K7" i="3" s="1"/>
  <c r="L7" i="3" s="1"/>
  <c r="H8" i="3"/>
  <c r="K8" i="3" s="1"/>
  <c r="L8" i="3" s="1"/>
  <c r="H9" i="3"/>
  <c r="K9" i="3" s="1"/>
  <c r="L9" i="3" s="1"/>
  <c r="H10" i="3"/>
  <c r="K10" i="3" s="1"/>
  <c r="L10" i="3" s="1"/>
  <c r="H11" i="3"/>
  <c r="K11" i="3" s="1"/>
  <c r="H12" i="3"/>
  <c r="K12" i="3" s="1"/>
  <c r="H13" i="3"/>
  <c r="K13" i="3" s="1"/>
  <c r="L13" i="3" s="1"/>
  <c r="H14" i="3"/>
  <c r="K14" i="3" s="1"/>
  <c r="L14" i="3" s="1"/>
  <c r="H15" i="3"/>
  <c r="K15" i="3" s="1"/>
  <c r="L15" i="3" s="1"/>
  <c r="H16" i="3"/>
  <c r="K16" i="3" s="1"/>
  <c r="L16" i="3" s="1"/>
  <c r="H17" i="3"/>
  <c r="K17" i="3" s="1"/>
  <c r="L17" i="3" s="1"/>
  <c r="H18" i="3"/>
  <c r="K18" i="3" s="1"/>
  <c r="H19" i="3"/>
  <c r="K19" i="3" s="1"/>
  <c r="L19" i="3" s="1"/>
  <c r="H20" i="3"/>
  <c r="K20" i="3" s="1"/>
  <c r="H21" i="3"/>
  <c r="K21" i="3" s="1"/>
  <c r="L21" i="3" s="1"/>
  <c r="H22" i="3"/>
  <c r="K22" i="3" s="1"/>
  <c r="L22" i="3" s="1"/>
  <c r="H23" i="3"/>
  <c r="K23" i="3" s="1"/>
  <c r="H24" i="3"/>
  <c r="K24" i="3" s="1"/>
  <c r="H25" i="3"/>
  <c r="K25" i="3" s="1"/>
  <c r="H26" i="3"/>
  <c r="K26" i="3" s="1"/>
  <c r="H27" i="3"/>
  <c r="K27" i="3" s="1"/>
  <c r="L27" i="3" s="1"/>
  <c r="H28" i="3"/>
  <c r="K28" i="3" s="1"/>
  <c r="L28" i="3" s="1"/>
  <c r="H29" i="3"/>
  <c r="K29" i="3" s="1"/>
  <c r="L29" i="3" s="1"/>
  <c r="H30" i="3"/>
  <c r="K30" i="3" s="1"/>
  <c r="H31" i="3"/>
  <c r="K31" i="3" s="1"/>
  <c r="L31" i="3" s="1"/>
  <c r="H32" i="3"/>
  <c r="K32" i="3" s="1"/>
  <c r="H33" i="3"/>
  <c r="K33" i="3" s="1"/>
  <c r="L33" i="3" s="1"/>
  <c r="H34" i="3"/>
  <c r="K34" i="3" s="1"/>
  <c r="L34" i="3" s="1"/>
  <c r="H35" i="3"/>
  <c r="K35" i="3" s="1"/>
  <c r="H36" i="3"/>
  <c r="K36" i="3" s="1"/>
  <c r="H37" i="3"/>
  <c r="K37" i="3" s="1"/>
  <c r="H38" i="3"/>
  <c r="K38" i="3" s="1"/>
  <c r="H39" i="3"/>
  <c r="K39" i="3" s="1"/>
  <c r="L39" i="3" s="1"/>
  <c r="H40" i="3"/>
  <c r="K40" i="3" s="1"/>
  <c r="L40" i="3" s="1"/>
  <c r="H41" i="3"/>
  <c r="K41" i="3" s="1"/>
  <c r="L41" i="3" s="1"/>
  <c r="H42" i="3"/>
  <c r="K42" i="3" s="1"/>
  <c r="H43" i="3"/>
  <c r="K43" i="3" s="1"/>
  <c r="L43" i="3" s="1"/>
  <c r="H44" i="3"/>
  <c r="K44" i="3" s="1"/>
  <c r="H45" i="3"/>
  <c r="K45" i="3" s="1"/>
  <c r="L45" i="3" s="1"/>
  <c r="H46" i="3"/>
  <c r="K46" i="3" s="1"/>
  <c r="L46" i="3" s="1"/>
  <c r="H47" i="3"/>
  <c r="K47" i="3" s="1"/>
  <c r="H48" i="3"/>
  <c r="K48" i="3" s="1"/>
  <c r="H49" i="3"/>
  <c r="K49" i="3" s="1"/>
  <c r="H50" i="3"/>
  <c r="K50" i="3" s="1"/>
  <c r="H51" i="3"/>
  <c r="K51" i="3" s="1"/>
  <c r="L51" i="3" s="1"/>
  <c r="H52" i="3"/>
  <c r="K52" i="3" s="1"/>
  <c r="L52" i="3" s="1"/>
  <c r="H53" i="3"/>
  <c r="K53" i="3" s="1"/>
  <c r="L53" i="3" s="1"/>
  <c r="H54" i="3"/>
  <c r="K54" i="3" s="1"/>
  <c r="H55" i="3"/>
  <c r="K55" i="3" s="1"/>
  <c r="L55" i="3" s="1"/>
  <c r="H56" i="3"/>
  <c r="K56" i="3" s="1"/>
  <c r="H57" i="3"/>
  <c r="K57" i="3" s="1"/>
  <c r="L57" i="3" s="1"/>
  <c r="H58" i="3"/>
  <c r="K58" i="3" s="1"/>
  <c r="L58" i="3" s="1"/>
  <c r="H59" i="3"/>
  <c r="K59" i="3" s="1"/>
  <c r="H60" i="3"/>
  <c r="K60" i="3" s="1"/>
  <c r="H61" i="3"/>
  <c r="K61" i="3" s="1"/>
  <c r="H62" i="3"/>
  <c r="K62" i="3" s="1"/>
  <c r="H63" i="3"/>
  <c r="K63" i="3" s="1"/>
  <c r="L63" i="3" s="1"/>
  <c r="H64" i="3"/>
  <c r="K64" i="3" s="1"/>
  <c r="L64" i="3" s="1"/>
  <c r="H65" i="3"/>
  <c r="K65" i="3" s="1"/>
  <c r="L65" i="3" s="1"/>
  <c r="H66" i="3"/>
  <c r="K66" i="3" s="1"/>
  <c r="L66" i="3" s="1"/>
  <c r="H67" i="3"/>
  <c r="K67" i="3" s="1"/>
  <c r="L67" i="3" s="1"/>
  <c r="H68" i="3"/>
  <c r="K68" i="3" s="1"/>
  <c r="H69" i="3"/>
  <c r="K69" i="3" s="1"/>
  <c r="L69" i="3" s="1"/>
  <c r="H70" i="3"/>
  <c r="K70" i="3" s="1"/>
  <c r="L70" i="3" s="1"/>
  <c r="H71" i="3"/>
  <c r="K71" i="3" s="1"/>
  <c r="H72" i="3"/>
  <c r="K72" i="3" s="1"/>
  <c r="H73" i="3"/>
  <c r="K73" i="3" s="1"/>
  <c r="H74" i="3"/>
  <c r="K74" i="3" s="1"/>
  <c r="H75" i="3"/>
  <c r="K75" i="3" s="1"/>
  <c r="L75" i="3" s="1"/>
  <c r="H76" i="3"/>
  <c r="K76" i="3" s="1"/>
  <c r="L76" i="3" s="1"/>
  <c r="H77" i="3"/>
  <c r="K77" i="3" s="1"/>
  <c r="L77" i="3" s="1"/>
  <c r="H78" i="3"/>
  <c r="K78" i="3" s="1"/>
  <c r="L78" i="3" s="1"/>
  <c r="H79" i="3"/>
  <c r="K79" i="3" s="1"/>
  <c r="L79" i="3" s="1"/>
  <c r="H80" i="3"/>
  <c r="K80" i="3" s="1"/>
  <c r="H81" i="3"/>
  <c r="K81" i="3" s="1"/>
  <c r="L81" i="3" s="1"/>
  <c r="H82" i="3"/>
  <c r="K82" i="3" s="1"/>
  <c r="L82" i="3" s="1"/>
  <c r="H83" i="3"/>
  <c r="K83" i="3" s="1"/>
  <c r="H84" i="3"/>
  <c r="K84" i="3" s="1"/>
  <c r="H85" i="3"/>
  <c r="K85" i="3" s="1"/>
  <c r="H86" i="3"/>
  <c r="K86" i="3" s="1"/>
  <c r="H87" i="3"/>
  <c r="K87" i="3" s="1"/>
  <c r="L87" i="3" s="1"/>
  <c r="H88" i="3"/>
  <c r="K88" i="3" s="1"/>
  <c r="L88" i="3" s="1"/>
  <c r="H89" i="3"/>
  <c r="K89" i="3" s="1"/>
  <c r="L89" i="3" s="1"/>
  <c r="H90" i="3"/>
  <c r="K90" i="3" s="1"/>
  <c r="L90" i="3" s="1"/>
  <c r="H91" i="3"/>
  <c r="K91" i="3" s="1"/>
  <c r="L91" i="3" s="1"/>
  <c r="H92" i="3"/>
  <c r="K92" i="3" s="1"/>
  <c r="H93" i="3"/>
  <c r="K93" i="3" s="1"/>
  <c r="L93" i="3" s="1"/>
  <c r="H94" i="3"/>
  <c r="K94" i="3" s="1"/>
  <c r="L94" i="3" s="1"/>
  <c r="H95" i="3"/>
  <c r="K95" i="3" s="1"/>
  <c r="H96" i="3"/>
  <c r="K96" i="3" s="1"/>
  <c r="H97" i="3"/>
  <c r="K97" i="3" s="1"/>
  <c r="H98" i="3"/>
  <c r="K98" i="3" s="1"/>
  <c r="H99" i="3"/>
  <c r="K99" i="3" s="1"/>
  <c r="L99" i="3" s="1"/>
  <c r="H100" i="3"/>
  <c r="K100" i="3" s="1"/>
  <c r="L100" i="3" s="1"/>
  <c r="H101" i="3"/>
  <c r="K101" i="3" s="1"/>
  <c r="L101" i="3" s="1"/>
  <c r="H102" i="3"/>
  <c r="K102" i="3" s="1"/>
  <c r="L102" i="3" s="1"/>
  <c r="H103" i="3"/>
  <c r="K103" i="3" s="1"/>
  <c r="L103" i="3" s="1"/>
  <c r="H104" i="3"/>
  <c r="K104" i="3" s="1"/>
  <c r="H105" i="3"/>
  <c r="K105" i="3" s="1"/>
  <c r="L105" i="3" s="1"/>
  <c r="H106" i="3"/>
  <c r="K106" i="3" s="1"/>
  <c r="L106" i="3" s="1"/>
  <c r="H107" i="3"/>
  <c r="K107" i="3" s="1"/>
  <c r="H108" i="3"/>
  <c r="K108" i="3" s="1"/>
  <c r="H109" i="3"/>
  <c r="K109" i="3" s="1"/>
  <c r="H110" i="3"/>
  <c r="K110" i="3" s="1"/>
  <c r="H111" i="3"/>
  <c r="K111" i="3" s="1"/>
  <c r="L111" i="3" s="1"/>
  <c r="H112" i="3"/>
  <c r="K112" i="3" s="1"/>
  <c r="L112" i="3" s="1"/>
  <c r="H113" i="3"/>
  <c r="K113" i="3" s="1"/>
  <c r="L113" i="3" s="1"/>
  <c r="H114" i="3"/>
  <c r="K114" i="3" s="1"/>
  <c r="L114" i="3" s="1"/>
  <c r="H115" i="3"/>
  <c r="K115" i="3" s="1"/>
  <c r="L115" i="3" s="1"/>
  <c r="H116" i="3"/>
  <c r="K116" i="3" s="1"/>
  <c r="H117" i="3"/>
  <c r="K117" i="3" s="1"/>
  <c r="L117" i="3" s="1"/>
  <c r="H118" i="3"/>
  <c r="K118" i="3" s="1"/>
  <c r="L118" i="3" s="1"/>
  <c r="H119" i="3"/>
  <c r="K119" i="3" s="1"/>
  <c r="H120" i="3"/>
  <c r="K120" i="3" s="1"/>
  <c r="H121" i="3"/>
  <c r="K121" i="3" s="1"/>
  <c r="H122" i="3"/>
  <c r="K122" i="3" s="1"/>
  <c r="H123" i="3"/>
  <c r="K123" i="3" s="1"/>
  <c r="L123" i="3" s="1"/>
  <c r="H124" i="3"/>
  <c r="K124" i="3" s="1"/>
  <c r="L124" i="3" s="1"/>
  <c r="H125" i="3"/>
  <c r="K125" i="3" s="1"/>
  <c r="L125" i="3" s="1"/>
  <c r="H126" i="3"/>
  <c r="K126" i="3" s="1"/>
  <c r="L126" i="3" s="1"/>
  <c r="H127" i="3"/>
  <c r="K127" i="3" s="1"/>
  <c r="L127" i="3" s="1"/>
  <c r="H128" i="3"/>
  <c r="K128" i="3" s="1"/>
  <c r="H129" i="3"/>
  <c r="K129" i="3" s="1"/>
  <c r="L129" i="3" s="1"/>
  <c r="H130" i="3"/>
  <c r="K130" i="3" s="1"/>
  <c r="L130" i="3" s="1"/>
  <c r="H131" i="3"/>
  <c r="K131" i="3" s="1"/>
  <c r="H132" i="3"/>
  <c r="K132" i="3" s="1"/>
  <c r="H133" i="3"/>
  <c r="K133" i="3" s="1"/>
  <c r="H134" i="3"/>
  <c r="K134" i="3" s="1"/>
  <c r="H135" i="3"/>
  <c r="K135" i="3" s="1"/>
  <c r="L135" i="3" s="1"/>
  <c r="H136" i="3"/>
  <c r="K136" i="3" s="1"/>
  <c r="L136" i="3" s="1"/>
  <c r="H137" i="3"/>
  <c r="K137" i="3" s="1"/>
  <c r="L137" i="3" s="1"/>
  <c r="H138" i="3"/>
  <c r="K138" i="3" s="1"/>
  <c r="L138" i="3" s="1"/>
  <c r="H139" i="3"/>
  <c r="K139" i="3" s="1"/>
  <c r="L139" i="3" s="1"/>
  <c r="H140" i="3"/>
  <c r="K140" i="3" s="1"/>
  <c r="H141" i="3"/>
  <c r="K141" i="3" s="1"/>
  <c r="L141" i="3" s="1"/>
  <c r="H142" i="3"/>
  <c r="K142" i="3" s="1"/>
  <c r="L142" i="3" s="1"/>
  <c r="H143" i="3"/>
  <c r="K143" i="3" s="1"/>
  <c r="H144" i="3"/>
  <c r="K144" i="3" s="1"/>
  <c r="H145" i="3"/>
  <c r="K145" i="3" s="1"/>
  <c r="H146" i="3"/>
  <c r="K146" i="3" s="1"/>
  <c r="H147" i="3"/>
  <c r="K147" i="3" s="1"/>
  <c r="L147" i="3" s="1"/>
  <c r="H148" i="3"/>
  <c r="K148" i="3" s="1"/>
  <c r="L148" i="3" s="1"/>
  <c r="H149" i="3"/>
  <c r="K149" i="3" s="1"/>
  <c r="L149" i="3" s="1"/>
  <c r="H150" i="3"/>
  <c r="K150" i="3" s="1"/>
  <c r="L150" i="3" s="1"/>
  <c r="H151" i="3"/>
  <c r="K151" i="3" s="1"/>
  <c r="L151" i="3" s="1"/>
  <c r="H152" i="3"/>
  <c r="K152" i="3" s="1"/>
  <c r="H153" i="3"/>
  <c r="K153" i="3" s="1"/>
  <c r="L153" i="3" s="1"/>
  <c r="H154" i="3"/>
  <c r="K154" i="3" s="1"/>
  <c r="L154" i="3" s="1"/>
  <c r="H155" i="3"/>
  <c r="K155" i="3" s="1"/>
  <c r="H156" i="3"/>
  <c r="K156" i="3" s="1"/>
  <c r="H157" i="3"/>
  <c r="K157" i="3" s="1"/>
  <c r="H158" i="3"/>
  <c r="K158" i="3" s="1"/>
  <c r="H159" i="3"/>
  <c r="K159" i="3" s="1"/>
  <c r="L159" i="3" s="1"/>
  <c r="H160" i="3"/>
  <c r="K160" i="3" s="1"/>
  <c r="L160" i="3" s="1"/>
  <c r="H161" i="3"/>
  <c r="K161" i="3" s="1"/>
  <c r="L161" i="3" s="1"/>
  <c r="H162" i="3"/>
  <c r="K162" i="3" s="1"/>
  <c r="L162" i="3" s="1"/>
  <c r="H163" i="3"/>
  <c r="K163" i="3" s="1"/>
  <c r="L163" i="3" s="1"/>
  <c r="H164" i="3"/>
  <c r="K164" i="3" s="1"/>
  <c r="H165" i="3"/>
  <c r="K165" i="3" s="1"/>
  <c r="L165" i="3" s="1"/>
  <c r="H166" i="3"/>
  <c r="K166" i="3" s="1"/>
  <c r="L166" i="3" s="1"/>
  <c r="H167" i="3"/>
  <c r="K167" i="3" s="1"/>
  <c r="H168" i="3"/>
  <c r="K168" i="3" s="1"/>
  <c r="H169" i="3"/>
  <c r="K169" i="3" s="1"/>
  <c r="H170" i="3"/>
  <c r="K170" i="3" s="1"/>
  <c r="H171" i="3"/>
  <c r="K171" i="3" s="1"/>
  <c r="L171" i="3" s="1"/>
  <c r="H172" i="3"/>
  <c r="K172" i="3" s="1"/>
  <c r="L172" i="3" s="1"/>
  <c r="H173" i="3"/>
  <c r="K173" i="3" s="1"/>
  <c r="L173" i="3" s="1"/>
  <c r="H174" i="3"/>
  <c r="K174" i="3" s="1"/>
  <c r="L174" i="3" s="1"/>
  <c r="H175" i="3"/>
  <c r="K175" i="3" s="1"/>
  <c r="L175" i="3" s="1"/>
  <c r="H176" i="3"/>
  <c r="K176" i="3" s="1"/>
  <c r="H177" i="3"/>
  <c r="K177" i="3" s="1"/>
  <c r="L177" i="3" s="1"/>
  <c r="H178" i="3"/>
  <c r="K178" i="3" s="1"/>
  <c r="L178" i="3" s="1"/>
  <c r="H179" i="3"/>
  <c r="K179" i="3" s="1"/>
  <c r="H180" i="3"/>
  <c r="K180" i="3" s="1"/>
  <c r="H181" i="3"/>
  <c r="K181" i="3" s="1"/>
  <c r="H182" i="3"/>
  <c r="K182" i="3" s="1"/>
  <c r="H183" i="3"/>
  <c r="K183" i="3" s="1"/>
  <c r="L183" i="3" s="1"/>
  <c r="H184" i="3"/>
  <c r="K184" i="3" s="1"/>
  <c r="L184" i="3" s="1"/>
  <c r="H185" i="3"/>
  <c r="K185" i="3" s="1"/>
  <c r="L185" i="3" s="1"/>
  <c r="H186" i="3"/>
  <c r="K186" i="3" s="1"/>
  <c r="L186" i="3" s="1"/>
  <c r="H187" i="3"/>
  <c r="K187" i="3" s="1"/>
  <c r="L187" i="3" s="1"/>
  <c r="H188" i="3"/>
  <c r="K188" i="3" s="1"/>
  <c r="H189" i="3"/>
  <c r="K189" i="3" s="1"/>
  <c r="L189" i="3" s="1"/>
  <c r="H190" i="3"/>
  <c r="K190" i="3" s="1"/>
  <c r="L190" i="3" s="1"/>
  <c r="H191" i="3"/>
  <c r="K191" i="3" s="1"/>
  <c r="H192" i="3"/>
  <c r="K192" i="3" s="1"/>
  <c r="H193" i="3"/>
  <c r="K193" i="3" s="1"/>
  <c r="H194" i="3"/>
  <c r="K194" i="3" s="1"/>
  <c r="H195" i="3"/>
  <c r="K195" i="3" s="1"/>
  <c r="L195" i="3" s="1"/>
  <c r="H196" i="3"/>
  <c r="K196" i="3" s="1"/>
  <c r="L196" i="3" s="1"/>
  <c r="H197" i="3"/>
  <c r="K197" i="3" s="1"/>
  <c r="L197" i="3" s="1"/>
  <c r="H198" i="3"/>
  <c r="K198" i="3" s="1"/>
  <c r="L198" i="3" s="1"/>
  <c r="H199" i="3"/>
  <c r="K199" i="3" s="1"/>
  <c r="L199" i="3" s="1"/>
  <c r="H200" i="3"/>
  <c r="K200" i="3" s="1"/>
  <c r="H201" i="3"/>
  <c r="K201" i="3" s="1"/>
  <c r="L201" i="3" s="1"/>
  <c r="H202" i="3"/>
  <c r="K202" i="3" s="1"/>
  <c r="L202" i="3" s="1"/>
  <c r="H203" i="3"/>
  <c r="K203" i="3" s="1"/>
  <c r="H204" i="3"/>
  <c r="K204" i="3" s="1"/>
  <c r="H205" i="3"/>
  <c r="K205" i="3" s="1"/>
  <c r="H206" i="3"/>
  <c r="K206" i="3" s="1"/>
  <c r="H207" i="3"/>
  <c r="K207" i="3" s="1"/>
  <c r="L207" i="3" s="1"/>
  <c r="H208" i="3"/>
  <c r="K208" i="3" s="1"/>
  <c r="L208" i="3" s="1"/>
  <c r="H209" i="3"/>
  <c r="K209" i="3" s="1"/>
  <c r="L209" i="3" s="1"/>
  <c r="H210" i="3"/>
  <c r="K210" i="3" s="1"/>
  <c r="L210" i="3" s="1"/>
  <c r="H211" i="3"/>
  <c r="K211" i="3" s="1"/>
  <c r="L211" i="3" s="1"/>
  <c r="H212" i="3"/>
  <c r="K212" i="3" s="1"/>
  <c r="H213" i="3"/>
  <c r="K213" i="3" s="1"/>
  <c r="L213" i="3" s="1"/>
  <c r="H214" i="3"/>
  <c r="K214" i="3" s="1"/>
  <c r="L214" i="3" s="1"/>
  <c r="H215" i="3"/>
  <c r="K215" i="3" s="1"/>
  <c r="H216" i="3"/>
  <c r="K216" i="3" s="1"/>
  <c r="H217" i="3"/>
  <c r="K217" i="3" s="1"/>
  <c r="H218" i="3"/>
  <c r="K218" i="3" s="1"/>
  <c r="H219" i="3"/>
  <c r="K219" i="3" s="1"/>
  <c r="L219" i="3" s="1"/>
  <c r="H220" i="3"/>
  <c r="K220" i="3" s="1"/>
  <c r="L220" i="3" s="1"/>
  <c r="H221" i="3"/>
  <c r="K221" i="3" s="1"/>
  <c r="L221" i="3" s="1"/>
  <c r="H222" i="3"/>
  <c r="K222" i="3" s="1"/>
  <c r="L222" i="3" s="1"/>
  <c r="H223" i="3"/>
  <c r="K223" i="3" s="1"/>
  <c r="L223" i="3" s="1"/>
  <c r="H224" i="3"/>
  <c r="K224" i="3" s="1"/>
  <c r="H225" i="3"/>
  <c r="K225" i="3" s="1"/>
  <c r="L225" i="3" s="1"/>
  <c r="H226" i="3"/>
  <c r="K226" i="3" s="1"/>
  <c r="L226" i="3" s="1"/>
  <c r="H227" i="3"/>
  <c r="K227" i="3" s="1"/>
  <c r="H228" i="3"/>
  <c r="K228" i="3" s="1"/>
  <c r="H229" i="3"/>
  <c r="K229" i="3" s="1"/>
  <c r="H230" i="3"/>
  <c r="K230" i="3" s="1"/>
  <c r="H231" i="3"/>
  <c r="K231" i="3" s="1"/>
  <c r="L231" i="3" s="1"/>
  <c r="H232" i="3"/>
  <c r="K232" i="3" s="1"/>
  <c r="L232" i="3" s="1"/>
  <c r="H233" i="3"/>
  <c r="K233" i="3" s="1"/>
  <c r="L233" i="3" s="1"/>
  <c r="H234" i="3"/>
  <c r="K234" i="3" s="1"/>
  <c r="L234" i="3" s="1"/>
  <c r="H235" i="3"/>
  <c r="K235" i="3" s="1"/>
  <c r="L235" i="3" s="1"/>
  <c r="H236" i="3"/>
  <c r="K236" i="3" s="1"/>
  <c r="H237" i="3"/>
  <c r="K237" i="3" s="1"/>
  <c r="L237" i="3" s="1"/>
  <c r="H238" i="3"/>
  <c r="K238" i="3" s="1"/>
  <c r="L238" i="3" s="1"/>
  <c r="H239" i="3"/>
  <c r="K239" i="3" s="1"/>
  <c r="H240" i="3"/>
  <c r="K240" i="3" s="1"/>
  <c r="H241" i="3"/>
  <c r="K241" i="3" s="1"/>
  <c r="H242" i="3"/>
  <c r="K242" i="3" s="1"/>
  <c r="H243" i="3"/>
  <c r="K243" i="3" s="1"/>
  <c r="L243" i="3" s="1"/>
  <c r="H244" i="3"/>
  <c r="K244" i="3" s="1"/>
  <c r="L244" i="3" s="1"/>
  <c r="H245" i="3"/>
  <c r="K245" i="3" s="1"/>
  <c r="L245" i="3" s="1"/>
  <c r="H246" i="3"/>
  <c r="K246" i="3" s="1"/>
  <c r="L246" i="3" s="1"/>
  <c r="H247" i="3"/>
  <c r="K247" i="3" s="1"/>
  <c r="L247" i="3" s="1"/>
  <c r="H248" i="3"/>
  <c r="K248" i="3" s="1"/>
  <c r="H249" i="3"/>
  <c r="K249" i="3" s="1"/>
  <c r="L249" i="3" s="1"/>
  <c r="H250" i="3"/>
  <c r="K250" i="3" s="1"/>
  <c r="L250" i="3" s="1"/>
  <c r="H251" i="3"/>
  <c r="K251" i="3" s="1"/>
  <c r="H252" i="3"/>
  <c r="K252" i="3" s="1"/>
  <c r="H253" i="3"/>
  <c r="K253" i="3" s="1"/>
  <c r="H254" i="3"/>
  <c r="K254" i="3" s="1"/>
  <c r="H255" i="3"/>
  <c r="K255" i="3" s="1"/>
  <c r="L255" i="3" s="1"/>
  <c r="H256" i="3"/>
  <c r="K256" i="3" s="1"/>
  <c r="L256" i="3" s="1"/>
  <c r="H257" i="3"/>
  <c r="K257" i="3" s="1"/>
  <c r="L257" i="3" s="1"/>
  <c r="H258" i="3"/>
  <c r="K258" i="3" s="1"/>
  <c r="L258" i="3" s="1"/>
  <c r="H259" i="3"/>
  <c r="K259" i="3" s="1"/>
  <c r="L259" i="3" s="1"/>
  <c r="H260" i="3"/>
  <c r="K260" i="3" s="1"/>
  <c r="H261" i="3"/>
  <c r="K261" i="3" s="1"/>
  <c r="L261" i="3" s="1"/>
  <c r="H262" i="3"/>
  <c r="K262" i="3" s="1"/>
  <c r="L262" i="3" s="1"/>
  <c r="H263" i="3"/>
  <c r="K263" i="3" s="1"/>
  <c r="H264" i="3"/>
  <c r="K264" i="3" s="1"/>
  <c r="H265" i="3"/>
  <c r="K265" i="3" s="1"/>
  <c r="H266" i="3"/>
  <c r="K266" i="3" s="1"/>
  <c r="H267" i="3"/>
  <c r="K267" i="3" s="1"/>
  <c r="L267" i="3" s="1"/>
  <c r="H268" i="3"/>
  <c r="K268" i="3" s="1"/>
  <c r="L268" i="3" s="1"/>
  <c r="H269" i="3"/>
  <c r="K269" i="3" s="1"/>
  <c r="L269" i="3" s="1"/>
  <c r="H270" i="3"/>
  <c r="K270" i="3" s="1"/>
  <c r="L270" i="3" s="1"/>
  <c r="H271" i="3"/>
  <c r="K271" i="3" s="1"/>
  <c r="L271" i="3" s="1"/>
  <c r="H272" i="3"/>
  <c r="K272" i="3" s="1"/>
  <c r="H273" i="3"/>
  <c r="K273" i="3" s="1"/>
  <c r="L273" i="3" s="1"/>
  <c r="H274" i="3"/>
  <c r="K274" i="3" s="1"/>
  <c r="L274" i="3" s="1"/>
  <c r="H275" i="3"/>
  <c r="K275" i="3" s="1"/>
  <c r="H276" i="3"/>
  <c r="K276" i="3" s="1"/>
  <c r="H277" i="3"/>
  <c r="K277" i="3" s="1"/>
  <c r="H278" i="3"/>
  <c r="K278" i="3" s="1"/>
  <c r="H279" i="3"/>
  <c r="K279" i="3" s="1"/>
  <c r="L279" i="3" s="1"/>
  <c r="H280" i="3"/>
  <c r="K280" i="3" s="1"/>
  <c r="L280" i="3" s="1"/>
  <c r="H281" i="3"/>
  <c r="K281" i="3" s="1"/>
  <c r="L281" i="3" s="1"/>
  <c r="H282" i="3"/>
  <c r="K282" i="3" s="1"/>
  <c r="L282" i="3" s="1"/>
  <c r="H283" i="3"/>
  <c r="K283" i="3" s="1"/>
  <c r="L283" i="3" s="1"/>
  <c r="H284" i="3"/>
  <c r="K284" i="3" s="1"/>
  <c r="H285" i="3"/>
  <c r="K285" i="3" s="1"/>
  <c r="L285" i="3" s="1"/>
  <c r="H286" i="3"/>
  <c r="K286" i="3" s="1"/>
  <c r="L286" i="3" s="1"/>
  <c r="H287" i="3"/>
  <c r="K287" i="3" s="1"/>
  <c r="H288" i="3"/>
  <c r="K288" i="3" s="1"/>
  <c r="H289" i="3"/>
  <c r="K289" i="3" s="1"/>
  <c r="H290" i="3"/>
  <c r="K290" i="3" s="1"/>
  <c r="H291" i="3"/>
  <c r="K291" i="3" s="1"/>
  <c r="L291" i="3" s="1"/>
  <c r="H292" i="3"/>
  <c r="K292" i="3" s="1"/>
  <c r="L292" i="3" s="1"/>
  <c r="H293" i="3"/>
  <c r="K293" i="3" s="1"/>
  <c r="L293" i="3" s="1"/>
  <c r="H294" i="3"/>
  <c r="K294" i="3" s="1"/>
  <c r="L294" i="3" s="1"/>
  <c r="H295" i="3"/>
  <c r="K295" i="3" s="1"/>
  <c r="L295" i="3" s="1"/>
  <c r="H296" i="3"/>
  <c r="K296" i="3" s="1"/>
  <c r="H297" i="3"/>
  <c r="K297" i="3" s="1"/>
  <c r="L297" i="3" s="1"/>
  <c r="H298" i="3"/>
  <c r="K298" i="3" s="1"/>
  <c r="L298" i="3" s="1"/>
  <c r="H299" i="3"/>
  <c r="K299" i="3" s="1"/>
  <c r="H300" i="3"/>
  <c r="K300" i="3" s="1"/>
  <c r="H301" i="3"/>
  <c r="K301" i="3" s="1"/>
  <c r="H302" i="3"/>
  <c r="K302" i="3" s="1"/>
  <c r="H303" i="3"/>
  <c r="K303" i="3" s="1"/>
  <c r="L303" i="3" s="1"/>
  <c r="H304" i="3"/>
  <c r="K304" i="3" s="1"/>
  <c r="L304" i="3" s="1"/>
  <c r="H305" i="3"/>
  <c r="K305" i="3" s="1"/>
  <c r="L305" i="3" s="1"/>
  <c r="H306" i="3"/>
  <c r="K306" i="3" s="1"/>
  <c r="L306" i="3" s="1"/>
  <c r="H307" i="3"/>
  <c r="K307" i="3" s="1"/>
  <c r="L307" i="3" s="1"/>
  <c r="H308" i="3"/>
  <c r="K308" i="3" s="1"/>
  <c r="H309" i="3"/>
  <c r="K309" i="3" s="1"/>
  <c r="L309" i="3" s="1"/>
  <c r="H310" i="3"/>
  <c r="K310" i="3" s="1"/>
  <c r="L310" i="3" s="1"/>
  <c r="H311" i="3"/>
  <c r="K311" i="3" s="1"/>
  <c r="H312" i="3"/>
  <c r="K312" i="3" s="1"/>
  <c r="H313" i="3"/>
  <c r="K313" i="3" s="1"/>
  <c r="H314" i="3"/>
  <c r="K314" i="3" s="1"/>
  <c r="H315" i="3"/>
  <c r="K315" i="3" s="1"/>
  <c r="L315" i="3" s="1"/>
  <c r="H316" i="3"/>
  <c r="K316" i="3" s="1"/>
  <c r="L316" i="3" s="1"/>
  <c r="H317" i="3"/>
  <c r="K317" i="3" s="1"/>
  <c r="L317" i="3" s="1"/>
  <c r="H318" i="3"/>
  <c r="K318" i="3" s="1"/>
  <c r="L318" i="3" s="1"/>
  <c r="H319" i="3"/>
  <c r="K319" i="3" s="1"/>
  <c r="L319" i="3" s="1"/>
  <c r="H320" i="3"/>
  <c r="K320" i="3" s="1"/>
  <c r="H321" i="3"/>
  <c r="K321" i="3" s="1"/>
  <c r="L321" i="3" s="1"/>
  <c r="H322" i="3"/>
  <c r="K322" i="3" s="1"/>
  <c r="L322" i="3" s="1"/>
  <c r="H323" i="3"/>
  <c r="K323" i="3" s="1"/>
  <c r="H324" i="3"/>
  <c r="K324" i="3" s="1"/>
  <c r="H325" i="3"/>
  <c r="K325" i="3" s="1"/>
  <c r="H326" i="3"/>
  <c r="K326" i="3" s="1"/>
  <c r="H327" i="3"/>
  <c r="K327" i="3" s="1"/>
  <c r="L327" i="3" s="1"/>
  <c r="H328" i="3"/>
  <c r="K328" i="3" s="1"/>
  <c r="L328" i="3" s="1"/>
  <c r="H329" i="3"/>
  <c r="K329" i="3" s="1"/>
  <c r="L329" i="3" s="1"/>
  <c r="H330" i="3"/>
  <c r="K330" i="3" s="1"/>
  <c r="L330" i="3" s="1"/>
  <c r="H331" i="3"/>
  <c r="K331" i="3" s="1"/>
  <c r="L331" i="3" s="1"/>
  <c r="H332" i="3"/>
  <c r="K332" i="3" s="1"/>
  <c r="H333" i="3"/>
  <c r="K333" i="3" s="1"/>
  <c r="L333" i="3" s="1"/>
  <c r="H334" i="3"/>
  <c r="K334" i="3" s="1"/>
  <c r="L334" i="3" s="1"/>
  <c r="H335" i="3"/>
  <c r="K335" i="3" s="1"/>
  <c r="H336" i="3"/>
  <c r="K336" i="3" s="1"/>
  <c r="H337" i="3"/>
  <c r="K337" i="3" s="1"/>
  <c r="H338" i="3"/>
  <c r="K338" i="3" s="1"/>
  <c r="H339" i="3"/>
  <c r="K339" i="3" s="1"/>
  <c r="L339" i="3" s="1"/>
  <c r="H340" i="3"/>
  <c r="K340" i="3" s="1"/>
  <c r="L340" i="3" s="1"/>
  <c r="H341" i="3"/>
  <c r="K341" i="3" s="1"/>
  <c r="L341" i="3" s="1"/>
  <c r="H342" i="3"/>
  <c r="K342" i="3" s="1"/>
  <c r="L342" i="3" s="1"/>
  <c r="H343" i="3"/>
  <c r="K343" i="3" s="1"/>
  <c r="L343" i="3" s="1"/>
  <c r="H344" i="3"/>
  <c r="K344" i="3" s="1"/>
  <c r="H345" i="3"/>
  <c r="K345" i="3" s="1"/>
  <c r="L345" i="3" s="1"/>
  <c r="H346" i="3"/>
  <c r="K346" i="3" s="1"/>
  <c r="L346" i="3" s="1"/>
  <c r="H347" i="3"/>
  <c r="K347" i="3" s="1"/>
  <c r="H348" i="3"/>
  <c r="K348" i="3" s="1"/>
  <c r="H349" i="3"/>
  <c r="K349" i="3" s="1"/>
  <c r="H350" i="3"/>
  <c r="K350" i="3" s="1"/>
  <c r="H351" i="3"/>
  <c r="K351" i="3" s="1"/>
  <c r="L351" i="3" s="1"/>
  <c r="H352" i="3"/>
  <c r="K352" i="3" s="1"/>
  <c r="L352" i="3" s="1"/>
  <c r="H353" i="3"/>
  <c r="K353" i="3" s="1"/>
  <c r="L353" i="3" s="1"/>
  <c r="H354" i="3"/>
  <c r="K354" i="3" s="1"/>
  <c r="L354" i="3" s="1"/>
  <c r="H355" i="3"/>
  <c r="K355" i="3" s="1"/>
  <c r="L355" i="3" s="1"/>
  <c r="H356" i="3"/>
  <c r="K356" i="3" s="1"/>
  <c r="H357" i="3"/>
  <c r="K357" i="3" s="1"/>
  <c r="L357" i="3" s="1"/>
  <c r="H358" i="3"/>
  <c r="K358" i="3" s="1"/>
  <c r="L358" i="3" s="1"/>
  <c r="H359" i="3"/>
  <c r="K359" i="3" s="1"/>
  <c r="H360" i="3"/>
  <c r="K360" i="3" s="1"/>
  <c r="H361" i="3"/>
  <c r="K361" i="3" s="1"/>
  <c r="H362" i="3"/>
  <c r="K362" i="3" s="1"/>
  <c r="H363" i="3"/>
  <c r="K363" i="3" s="1"/>
  <c r="L363" i="3" s="1"/>
  <c r="H364" i="3"/>
  <c r="K364" i="3" s="1"/>
  <c r="L364" i="3" s="1"/>
  <c r="H365" i="3"/>
  <c r="K365" i="3" s="1"/>
  <c r="L365" i="3" s="1"/>
  <c r="H366" i="3"/>
  <c r="K366" i="3" s="1"/>
  <c r="L366" i="3" s="1"/>
  <c r="H367" i="3"/>
  <c r="K367" i="3" s="1"/>
  <c r="L367" i="3" s="1"/>
  <c r="H368" i="3"/>
  <c r="K368" i="3" s="1"/>
  <c r="H369" i="3"/>
  <c r="K369" i="3" s="1"/>
  <c r="L369" i="3" s="1"/>
  <c r="H370" i="3"/>
  <c r="K370" i="3" s="1"/>
  <c r="L370" i="3" s="1"/>
  <c r="H371" i="3"/>
  <c r="K371" i="3" s="1"/>
  <c r="H372" i="3"/>
  <c r="K372" i="3" s="1"/>
  <c r="H373" i="3"/>
  <c r="K373" i="3" s="1"/>
  <c r="H374" i="3"/>
  <c r="K374" i="3" s="1"/>
  <c r="H375" i="3"/>
  <c r="K375" i="3" s="1"/>
  <c r="L375" i="3" s="1"/>
  <c r="H376" i="3"/>
  <c r="K376" i="3" s="1"/>
  <c r="L376" i="3" s="1"/>
  <c r="H377" i="3"/>
  <c r="K377" i="3" s="1"/>
  <c r="L377" i="3" s="1"/>
  <c r="H378" i="3"/>
  <c r="K378" i="3" s="1"/>
  <c r="L378" i="3" s="1"/>
  <c r="H379" i="3"/>
  <c r="K379" i="3" s="1"/>
  <c r="L379" i="3" s="1"/>
  <c r="H380" i="3"/>
  <c r="K380" i="3" s="1"/>
  <c r="H381" i="3"/>
  <c r="K381" i="3" s="1"/>
  <c r="L381" i="3" s="1"/>
  <c r="H382" i="3"/>
  <c r="K382" i="3" s="1"/>
  <c r="L382" i="3" s="1"/>
  <c r="H383" i="3"/>
  <c r="K383" i="3" s="1"/>
  <c r="H384" i="3"/>
  <c r="K384" i="3" s="1"/>
  <c r="H385" i="3"/>
  <c r="K385" i="3" s="1"/>
  <c r="H386" i="3"/>
  <c r="K386" i="3" s="1"/>
  <c r="H387" i="3"/>
  <c r="K387" i="3" s="1"/>
  <c r="L387" i="3" s="1"/>
  <c r="H388" i="3"/>
  <c r="K388" i="3" s="1"/>
  <c r="L388" i="3" s="1"/>
  <c r="H389" i="3"/>
  <c r="K389" i="3" s="1"/>
  <c r="L389" i="3" s="1"/>
  <c r="H390" i="3"/>
  <c r="K390" i="3" s="1"/>
  <c r="L390" i="3" s="1"/>
  <c r="H391" i="3"/>
  <c r="K391" i="3" s="1"/>
  <c r="L391" i="3" s="1"/>
  <c r="H392" i="3"/>
  <c r="K392" i="3" s="1"/>
  <c r="H393" i="3"/>
  <c r="K393" i="3" s="1"/>
  <c r="L393" i="3" s="1"/>
  <c r="H394" i="3"/>
  <c r="K394" i="3" s="1"/>
  <c r="L394" i="3" s="1"/>
  <c r="H395" i="3"/>
  <c r="K395" i="3" s="1"/>
  <c r="H396" i="3"/>
  <c r="K396" i="3" s="1"/>
  <c r="H397" i="3"/>
  <c r="K397" i="3" s="1"/>
  <c r="H398" i="3"/>
  <c r="K398" i="3" s="1"/>
  <c r="H399" i="3"/>
  <c r="K399" i="3" s="1"/>
  <c r="L399" i="3" s="1"/>
  <c r="H400" i="3"/>
  <c r="K400" i="3" s="1"/>
  <c r="L400" i="3" s="1"/>
  <c r="H401" i="3"/>
  <c r="K401" i="3" s="1"/>
  <c r="L401" i="3" s="1"/>
  <c r="H402" i="3"/>
  <c r="K402" i="3" s="1"/>
  <c r="L402" i="3" s="1"/>
  <c r="H403" i="3"/>
  <c r="K403" i="3" s="1"/>
  <c r="L403" i="3" s="1"/>
  <c r="H404" i="3"/>
  <c r="K404" i="3" s="1"/>
  <c r="H405" i="3"/>
  <c r="K405" i="3" s="1"/>
  <c r="L405" i="3" s="1"/>
  <c r="H406" i="3"/>
  <c r="K406" i="3" s="1"/>
  <c r="L406" i="3" s="1"/>
  <c r="H407" i="3"/>
  <c r="K407" i="3" s="1"/>
  <c r="H408" i="3"/>
  <c r="K408" i="3" s="1"/>
  <c r="H409" i="3"/>
  <c r="K409" i="3" s="1"/>
  <c r="H410" i="3"/>
  <c r="K410" i="3" s="1"/>
  <c r="H411" i="3"/>
  <c r="K411" i="3" s="1"/>
  <c r="L411" i="3" s="1"/>
  <c r="H412" i="3"/>
  <c r="K412" i="3" s="1"/>
  <c r="L412" i="3" s="1"/>
  <c r="H413" i="3"/>
  <c r="K413" i="3" s="1"/>
  <c r="L413" i="3" s="1"/>
  <c r="H414" i="3"/>
  <c r="K414" i="3" s="1"/>
  <c r="L414" i="3" s="1"/>
  <c r="H415" i="3"/>
  <c r="K415" i="3" s="1"/>
  <c r="L415" i="3" s="1"/>
  <c r="H416" i="3"/>
  <c r="K416" i="3" s="1"/>
  <c r="H417" i="3"/>
  <c r="K417" i="3" s="1"/>
  <c r="L417" i="3" s="1"/>
  <c r="H418" i="3"/>
  <c r="K418" i="3" s="1"/>
  <c r="L418" i="3" s="1"/>
  <c r="H419" i="3"/>
  <c r="K419" i="3" s="1"/>
  <c r="H420" i="3"/>
  <c r="K420" i="3" s="1"/>
  <c r="H421" i="3"/>
  <c r="K421" i="3" s="1"/>
  <c r="H422" i="3"/>
  <c r="K422" i="3" s="1"/>
  <c r="H423" i="3"/>
  <c r="K423" i="3" s="1"/>
  <c r="L423" i="3" s="1"/>
  <c r="H424" i="3"/>
  <c r="K424" i="3" s="1"/>
  <c r="L424" i="3" s="1"/>
  <c r="H425" i="3"/>
  <c r="K425" i="3" s="1"/>
  <c r="L425" i="3" s="1"/>
  <c r="H426" i="3"/>
  <c r="K426" i="3" s="1"/>
  <c r="L426" i="3" s="1"/>
  <c r="H427" i="3"/>
  <c r="K427" i="3" s="1"/>
  <c r="L427" i="3" s="1"/>
  <c r="H428" i="3"/>
  <c r="K428" i="3" s="1"/>
  <c r="H429" i="3"/>
  <c r="K429" i="3" s="1"/>
  <c r="L429" i="3" s="1"/>
  <c r="H430" i="3"/>
  <c r="K430" i="3" s="1"/>
  <c r="L430" i="3" s="1"/>
  <c r="H431" i="3"/>
  <c r="K431" i="3" s="1"/>
  <c r="H432" i="3"/>
  <c r="K432" i="3" s="1"/>
  <c r="H433" i="3"/>
  <c r="K433" i="3" s="1"/>
  <c r="H434" i="3"/>
  <c r="K434" i="3" s="1"/>
  <c r="H435" i="3"/>
  <c r="K435" i="3" s="1"/>
  <c r="L435" i="3" s="1"/>
  <c r="H436" i="3"/>
  <c r="K436" i="3" s="1"/>
  <c r="L436" i="3" s="1"/>
  <c r="H437" i="3"/>
  <c r="K437" i="3" s="1"/>
  <c r="L437" i="3" s="1"/>
  <c r="H438" i="3"/>
  <c r="K438" i="3" s="1"/>
  <c r="L438" i="3" s="1"/>
  <c r="H439" i="3"/>
  <c r="K439" i="3" s="1"/>
  <c r="L439" i="3" s="1"/>
  <c r="H440" i="3"/>
  <c r="K440" i="3" s="1"/>
  <c r="H441" i="3"/>
  <c r="K441" i="3" s="1"/>
  <c r="L441" i="3" s="1"/>
  <c r="H442" i="3"/>
  <c r="K442" i="3" s="1"/>
  <c r="L442" i="3" s="1"/>
  <c r="H443" i="3"/>
  <c r="K443" i="3" s="1"/>
  <c r="H444" i="3"/>
  <c r="K444" i="3" s="1"/>
  <c r="H445" i="3"/>
  <c r="K445" i="3" s="1"/>
  <c r="H446" i="3"/>
  <c r="K446" i="3" s="1"/>
  <c r="H447" i="3"/>
  <c r="K447" i="3" s="1"/>
  <c r="L447" i="3" s="1"/>
  <c r="H448" i="3"/>
  <c r="K448" i="3" s="1"/>
  <c r="L448" i="3" s="1"/>
  <c r="H449" i="3"/>
  <c r="K449" i="3" s="1"/>
  <c r="L449" i="3" s="1"/>
  <c r="H450" i="3"/>
  <c r="K450" i="3" s="1"/>
  <c r="L450" i="3" s="1"/>
  <c r="H451" i="3"/>
  <c r="K451" i="3" s="1"/>
  <c r="L451" i="3" s="1"/>
  <c r="H452" i="3"/>
  <c r="K452" i="3" s="1"/>
  <c r="H453" i="3"/>
  <c r="K453" i="3" s="1"/>
  <c r="L453" i="3" s="1"/>
  <c r="H454" i="3"/>
  <c r="K454" i="3" s="1"/>
  <c r="L454" i="3" s="1"/>
  <c r="H455" i="3"/>
  <c r="K455" i="3" s="1"/>
  <c r="H456" i="3"/>
  <c r="K456" i="3" s="1"/>
  <c r="H457" i="3"/>
  <c r="K457" i="3" s="1"/>
  <c r="H458" i="3"/>
  <c r="K458" i="3" s="1"/>
  <c r="H459" i="3"/>
  <c r="K459" i="3" s="1"/>
  <c r="L459" i="3" s="1"/>
  <c r="H460" i="3"/>
  <c r="K460" i="3" s="1"/>
  <c r="L460" i="3" s="1"/>
  <c r="H461" i="3"/>
  <c r="K461" i="3" s="1"/>
  <c r="L461" i="3" s="1"/>
  <c r="H462" i="3"/>
  <c r="K462" i="3" s="1"/>
  <c r="L462" i="3" s="1"/>
  <c r="H463" i="3"/>
  <c r="K463" i="3" s="1"/>
  <c r="L463" i="3" s="1"/>
  <c r="H464" i="3"/>
  <c r="K464" i="3" s="1"/>
  <c r="H465" i="3"/>
  <c r="K465" i="3" s="1"/>
  <c r="L465" i="3" s="1"/>
  <c r="H466" i="3"/>
  <c r="K466" i="3" s="1"/>
  <c r="L466" i="3" s="1"/>
  <c r="H467" i="3"/>
  <c r="K467" i="3" s="1"/>
  <c r="H468" i="3"/>
  <c r="K468" i="3" s="1"/>
  <c r="H469" i="3"/>
  <c r="K469" i="3" s="1"/>
  <c r="H470" i="3"/>
  <c r="K470" i="3" s="1"/>
  <c r="H471" i="3"/>
  <c r="K471" i="3" s="1"/>
  <c r="L471" i="3" s="1"/>
  <c r="H472" i="3"/>
  <c r="K472" i="3" s="1"/>
  <c r="L472" i="3" s="1"/>
  <c r="H473" i="3"/>
  <c r="K473" i="3" s="1"/>
  <c r="L473" i="3" s="1"/>
  <c r="H474" i="3"/>
  <c r="K474" i="3" s="1"/>
  <c r="L474" i="3" s="1"/>
  <c r="H475" i="3"/>
  <c r="K475" i="3" s="1"/>
  <c r="L475" i="3" s="1"/>
  <c r="H476" i="3"/>
  <c r="K476" i="3" s="1"/>
  <c r="H477" i="3"/>
  <c r="K477" i="3" s="1"/>
  <c r="L477" i="3" s="1"/>
  <c r="H478" i="3"/>
  <c r="K478" i="3" s="1"/>
  <c r="L478" i="3" s="1"/>
  <c r="H479" i="3"/>
  <c r="K479" i="3" s="1"/>
  <c r="H480" i="3"/>
  <c r="K480" i="3" s="1"/>
  <c r="H481" i="3"/>
  <c r="K481" i="3" s="1"/>
  <c r="H482" i="3"/>
  <c r="K482" i="3" s="1"/>
  <c r="H483" i="3"/>
  <c r="K483" i="3" s="1"/>
  <c r="L483" i="3" s="1"/>
  <c r="H484" i="3"/>
  <c r="K484" i="3" s="1"/>
  <c r="L484" i="3" s="1"/>
  <c r="H485" i="3"/>
  <c r="K485" i="3" s="1"/>
  <c r="L485" i="3" s="1"/>
  <c r="H486" i="3"/>
  <c r="K486" i="3" s="1"/>
  <c r="L486" i="3" s="1"/>
  <c r="H487" i="3"/>
  <c r="K487" i="3" s="1"/>
  <c r="L487" i="3" s="1"/>
  <c r="H488" i="3"/>
  <c r="K488" i="3" s="1"/>
  <c r="H489" i="3"/>
  <c r="K489" i="3" s="1"/>
  <c r="L489" i="3" s="1"/>
  <c r="H490" i="3"/>
  <c r="K490" i="3" s="1"/>
  <c r="L490" i="3" s="1"/>
  <c r="H491" i="3"/>
  <c r="K491" i="3" s="1"/>
  <c r="H492" i="3"/>
  <c r="K492" i="3" s="1"/>
  <c r="H493" i="3"/>
  <c r="K493" i="3" s="1"/>
  <c r="H494" i="3"/>
  <c r="K494" i="3" s="1"/>
  <c r="H495" i="3"/>
  <c r="K495" i="3" s="1"/>
  <c r="L495" i="3" s="1"/>
  <c r="H496" i="3"/>
  <c r="K496" i="3" s="1"/>
  <c r="L496" i="3" s="1"/>
  <c r="H497" i="3"/>
  <c r="K497" i="3" s="1"/>
  <c r="L497" i="3" s="1"/>
  <c r="H498" i="3"/>
  <c r="K498" i="3" s="1"/>
  <c r="L498" i="3" s="1"/>
  <c r="H499" i="3"/>
  <c r="K499" i="3" s="1"/>
  <c r="L499" i="3" s="1"/>
  <c r="H500" i="3"/>
  <c r="K500" i="3" s="1"/>
  <c r="H501" i="3"/>
  <c r="K501" i="3" s="1"/>
  <c r="L501" i="3" s="1"/>
  <c r="H502" i="3"/>
  <c r="K502" i="3" s="1"/>
  <c r="L502" i="3" s="1"/>
  <c r="H503" i="3"/>
  <c r="K503" i="3" s="1"/>
  <c r="H504" i="3"/>
  <c r="K504" i="3" s="1"/>
  <c r="H505" i="3"/>
  <c r="K505" i="3" s="1"/>
  <c r="H506" i="3"/>
  <c r="K506" i="3" s="1"/>
  <c r="H507" i="3"/>
  <c r="K507" i="3" s="1"/>
  <c r="L507" i="3" s="1"/>
  <c r="H508" i="3"/>
  <c r="K508" i="3" s="1"/>
  <c r="L508" i="3" s="1"/>
  <c r="H509" i="3"/>
  <c r="K509" i="3" s="1"/>
  <c r="L509" i="3" s="1"/>
  <c r="H510" i="3"/>
  <c r="K510" i="3" s="1"/>
  <c r="L510" i="3" s="1"/>
  <c r="H511" i="3"/>
  <c r="K511" i="3" s="1"/>
  <c r="L511" i="3" s="1"/>
  <c r="H512" i="3"/>
  <c r="K512" i="3" s="1"/>
  <c r="L512" i="3" s="1"/>
  <c r="H513" i="3"/>
  <c r="K513" i="3" s="1"/>
  <c r="L513" i="3" s="1"/>
  <c r="H514" i="3"/>
  <c r="K514" i="3" s="1"/>
  <c r="L514" i="3" s="1"/>
  <c r="H515" i="3"/>
  <c r="K515" i="3" s="1"/>
  <c r="H516" i="3"/>
  <c r="K516" i="3" s="1"/>
  <c r="H517" i="3"/>
  <c r="K517" i="3" s="1"/>
  <c r="H518" i="3"/>
  <c r="K518" i="3" s="1"/>
  <c r="H519" i="3"/>
  <c r="K519" i="3" s="1"/>
  <c r="L519" i="3" s="1"/>
  <c r="H520" i="3"/>
  <c r="K520" i="3" s="1"/>
  <c r="L520" i="3" s="1"/>
  <c r="H521" i="3"/>
  <c r="K521" i="3" s="1"/>
  <c r="L521" i="3" s="1"/>
  <c r="H522" i="3"/>
  <c r="K522" i="3" s="1"/>
  <c r="L522" i="3" s="1"/>
  <c r="H523" i="3"/>
  <c r="K523" i="3" s="1"/>
  <c r="L523" i="3" s="1"/>
  <c r="H524" i="3"/>
  <c r="K524" i="3" s="1"/>
  <c r="L524" i="3" s="1"/>
  <c r="H525" i="3"/>
  <c r="K525" i="3" s="1"/>
  <c r="L525" i="3" s="1"/>
  <c r="H526" i="3"/>
  <c r="K526" i="3" s="1"/>
  <c r="L526" i="3" s="1"/>
  <c r="H527" i="3"/>
  <c r="K527" i="3" s="1"/>
  <c r="H528" i="3"/>
  <c r="K528" i="3" s="1"/>
  <c r="H529" i="3"/>
  <c r="K529" i="3" s="1"/>
  <c r="H530" i="3"/>
  <c r="K530" i="3" s="1"/>
  <c r="H531" i="3"/>
  <c r="K531" i="3" s="1"/>
  <c r="L531" i="3" s="1"/>
  <c r="H532" i="3"/>
  <c r="K532" i="3" s="1"/>
  <c r="L532" i="3" s="1"/>
  <c r="H533" i="3"/>
  <c r="K533" i="3" s="1"/>
  <c r="L533" i="3" s="1"/>
  <c r="H534" i="3"/>
  <c r="K534" i="3" s="1"/>
  <c r="L534" i="3" s="1"/>
  <c r="H535" i="3"/>
  <c r="K535" i="3" s="1"/>
  <c r="L535" i="3" s="1"/>
  <c r="H536" i="3"/>
  <c r="K536" i="3" s="1"/>
  <c r="L536" i="3" s="1"/>
  <c r="H537" i="3"/>
  <c r="K537" i="3" s="1"/>
  <c r="L537" i="3" s="1"/>
  <c r="H538" i="3"/>
  <c r="K538" i="3" s="1"/>
  <c r="L538" i="3" s="1"/>
  <c r="H539" i="3"/>
  <c r="K539" i="3" s="1"/>
  <c r="H540" i="3"/>
  <c r="K540" i="3" s="1"/>
  <c r="H541" i="3"/>
  <c r="K541" i="3" s="1"/>
  <c r="H542" i="3"/>
  <c r="K542" i="3" s="1"/>
  <c r="H543" i="3"/>
  <c r="K543" i="3" s="1"/>
  <c r="L543" i="3" s="1"/>
  <c r="H544" i="3"/>
  <c r="K544" i="3" s="1"/>
  <c r="L544" i="3" s="1"/>
  <c r="H545" i="3"/>
  <c r="K545" i="3" s="1"/>
  <c r="L545" i="3" s="1"/>
  <c r="H546" i="3"/>
  <c r="K546" i="3" s="1"/>
  <c r="L546" i="3" s="1"/>
  <c r="H547" i="3"/>
  <c r="K547" i="3" s="1"/>
  <c r="L547" i="3" s="1"/>
  <c r="H548" i="3"/>
  <c r="K548" i="3" s="1"/>
  <c r="L548" i="3" s="1"/>
  <c r="H549" i="3"/>
  <c r="K549" i="3" s="1"/>
  <c r="L549" i="3" s="1"/>
  <c r="H550" i="3"/>
  <c r="K550" i="3" s="1"/>
  <c r="L550" i="3" s="1"/>
  <c r="H551" i="3"/>
  <c r="K551" i="3" s="1"/>
  <c r="H552" i="3"/>
  <c r="K552" i="3" s="1"/>
  <c r="H553" i="3"/>
  <c r="K553" i="3" s="1"/>
  <c r="H554" i="3"/>
  <c r="K554" i="3" s="1"/>
  <c r="H555" i="3"/>
  <c r="K555" i="3" s="1"/>
  <c r="L555" i="3" s="1"/>
  <c r="H556" i="3"/>
  <c r="K556" i="3" s="1"/>
  <c r="L556" i="3" s="1"/>
  <c r="H557" i="3"/>
  <c r="K557" i="3" s="1"/>
  <c r="L557" i="3" s="1"/>
  <c r="H558" i="3"/>
  <c r="K558" i="3" s="1"/>
  <c r="L558" i="3" s="1"/>
  <c r="H559" i="3"/>
  <c r="K559" i="3" s="1"/>
  <c r="L559" i="3" s="1"/>
  <c r="H560" i="3"/>
  <c r="K560" i="3" s="1"/>
  <c r="L560" i="3" s="1"/>
  <c r="H561" i="3"/>
  <c r="K561" i="3" s="1"/>
  <c r="L561" i="3" s="1"/>
  <c r="H562" i="3"/>
  <c r="K562" i="3" s="1"/>
  <c r="L562" i="3" s="1"/>
  <c r="H563" i="3"/>
  <c r="K563" i="3" s="1"/>
  <c r="H564" i="3"/>
  <c r="K564" i="3" s="1"/>
  <c r="H565" i="3"/>
  <c r="K565" i="3" s="1"/>
  <c r="H566" i="3"/>
  <c r="K566" i="3" s="1"/>
  <c r="H567" i="3"/>
  <c r="K567" i="3" s="1"/>
  <c r="L567" i="3" s="1"/>
  <c r="H568" i="3"/>
  <c r="K568" i="3" s="1"/>
  <c r="L568" i="3" s="1"/>
  <c r="H569" i="3"/>
  <c r="K569" i="3" s="1"/>
  <c r="L569" i="3" s="1"/>
  <c r="H570" i="3"/>
  <c r="K570" i="3" s="1"/>
  <c r="L570" i="3" s="1"/>
  <c r="H571" i="3"/>
  <c r="K571" i="3" s="1"/>
  <c r="L571" i="3" s="1"/>
  <c r="H572" i="3"/>
  <c r="K572" i="3" s="1"/>
  <c r="L572" i="3" s="1"/>
  <c r="H573" i="3"/>
  <c r="K573" i="3" s="1"/>
  <c r="L573" i="3" s="1"/>
  <c r="H574" i="3"/>
  <c r="K574" i="3" s="1"/>
  <c r="L574" i="3" s="1"/>
  <c r="H575" i="3"/>
  <c r="K575" i="3" s="1"/>
  <c r="H576" i="3"/>
  <c r="K576" i="3" s="1"/>
  <c r="H577" i="3"/>
  <c r="K577" i="3" s="1"/>
  <c r="H578" i="3"/>
  <c r="K578" i="3" s="1"/>
  <c r="H579" i="3"/>
  <c r="K579" i="3" s="1"/>
  <c r="L579" i="3" s="1"/>
  <c r="H580" i="3"/>
  <c r="K580" i="3" s="1"/>
  <c r="L580" i="3" s="1"/>
  <c r="H581" i="3"/>
  <c r="K581" i="3" s="1"/>
  <c r="L581" i="3" s="1"/>
  <c r="H582" i="3"/>
  <c r="K582" i="3" s="1"/>
  <c r="L582" i="3" s="1"/>
  <c r="H583" i="3"/>
  <c r="K583" i="3" s="1"/>
  <c r="L583" i="3" s="1"/>
  <c r="H584" i="3"/>
  <c r="K584" i="3" s="1"/>
  <c r="L584" i="3" s="1"/>
  <c r="H585" i="3"/>
  <c r="K585" i="3" s="1"/>
  <c r="L585" i="3" s="1"/>
  <c r="H586" i="3"/>
  <c r="K586" i="3" s="1"/>
  <c r="L586" i="3" s="1"/>
  <c r="H587" i="3"/>
  <c r="K587" i="3" s="1"/>
  <c r="H588" i="3"/>
  <c r="K588" i="3" s="1"/>
  <c r="H589" i="3"/>
  <c r="K589" i="3" s="1"/>
  <c r="H590" i="3"/>
  <c r="K590" i="3" s="1"/>
  <c r="H591" i="3"/>
  <c r="K591" i="3" s="1"/>
  <c r="L591" i="3" s="1"/>
  <c r="H592" i="3"/>
  <c r="K592" i="3" s="1"/>
  <c r="L592" i="3" s="1"/>
  <c r="H593" i="3"/>
  <c r="K593" i="3" s="1"/>
  <c r="L593" i="3" s="1"/>
  <c r="H594" i="3"/>
  <c r="K594" i="3" s="1"/>
  <c r="L594" i="3" s="1"/>
  <c r="H595" i="3"/>
  <c r="K595" i="3" s="1"/>
  <c r="L595" i="3" s="1"/>
  <c r="H596" i="3"/>
  <c r="K596" i="3" s="1"/>
  <c r="L596" i="3" s="1"/>
  <c r="H597" i="3"/>
  <c r="K597" i="3" s="1"/>
  <c r="L597" i="3" s="1"/>
  <c r="H598" i="3"/>
  <c r="K598" i="3" s="1"/>
  <c r="L598" i="3" s="1"/>
  <c r="H599" i="3"/>
  <c r="K599" i="3" s="1"/>
  <c r="H600" i="3"/>
  <c r="K600" i="3" s="1"/>
  <c r="H601" i="3"/>
  <c r="K601" i="3" s="1"/>
  <c r="H602" i="3"/>
  <c r="K602" i="3" s="1"/>
  <c r="H603" i="3"/>
  <c r="K603" i="3" s="1"/>
  <c r="L603" i="3" s="1"/>
  <c r="H604" i="3"/>
  <c r="K604" i="3" s="1"/>
  <c r="L604" i="3" s="1"/>
  <c r="H605" i="3"/>
  <c r="K605" i="3" s="1"/>
  <c r="L605" i="3" s="1"/>
  <c r="H606" i="3"/>
  <c r="K606" i="3" s="1"/>
  <c r="L606" i="3" s="1"/>
  <c r="H607" i="3"/>
  <c r="K607" i="3" s="1"/>
  <c r="L607" i="3" s="1"/>
  <c r="H608" i="3"/>
  <c r="K608" i="3" s="1"/>
  <c r="L608" i="3" s="1"/>
  <c r="H609" i="3"/>
  <c r="K609" i="3" s="1"/>
  <c r="L609" i="3" s="1"/>
  <c r="H610" i="3"/>
  <c r="K610" i="3" s="1"/>
  <c r="L610" i="3" s="1"/>
  <c r="H611" i="3"/>
  <c r="K611" i="3" s="1"/>
  <c r="H612" i="3"/>
  <c r="K612" i="3" s="1"/>
  <c r="H613" i="3"/>
  <c r="K613" i="3" s="1"/>
  <c r="H614" i="3"/>
  <c r="K614" i="3" s="1"/>
  <c r="H615" i="3"/>
  <c r="K615" i="3" s="1"/>
  <c r="L615" i="3" s="1"/>
  <c r="H616" i="3"/>
  <c r="K616" i="3" s="1"/>
  <c r="L616" i="3" s="1"/>
  <c r="H617" i="3"/>
  <c r="K617" i="3" s="1"/>
  <c r="L617" i="3" s="1"/>
  <c r="H618" i="3"/>
  <c r="K618" i="3" s="1"/>
  <c r="L618" i="3" s="1"/>
  <c r="H619" i="3"/>
  <c r="K619" i="3" s="1"/>
  <c r="L619" i="3" s="1"/>
  <c r="H620" i="3"/>
  <c r="K620" i="3" s="1"/>
  <c r="L620" i="3" s="1"/>
  <c r="H621" i="3"/>
  <c r="K621" i="3" s="1"/>
  <c r="L621" i="3" s="1"/>
  <c r="H622" i="3"/>
  <c r="K622" i="3" s="1"/>
  <c r="L622" i="3" s="1"/>
  <c r="H623" i="3"/>
  <c r="K623" i="3" s="1"/>
  <c r="H624" i="3"/>
  <c r="K624" i="3" s="1"/>
  <c r="H625" i="3"/>
  <c r="K625" i="3" s="1"/>
  <c r="H626" i="3"/>
  <c r="K626" i="3" s="1"/>
  <c r="H627" i="3"/>
  <c r="K627" i="3" s="1"/>
  <c r="L627" i="3" s="1"/>
  <c r="H628" i="3"/>
  <c r="K628" i="3" s="1"/>
  <c r="L628" i="3" s="1"/>
  <c r="H629" i="3"/>
  <c r="K629" i="3" s="1"/>
  <c r="L629" i="3" s="1"/>
  <c r="H630" i="3"/>
  <c r="K630" i="3" s="1"/>
  <c r="L630" i="3" s="1"/>
  <c r="H631" i="3"/>
  <c r="K631" i="3" s="1"/>
  <c r="L631" i="3" s="1"/>
  <c r="H632" i="3"/>
  <c r="K632" i="3" s="1"/>
  <c r="L632" i="3" s="1"/>
  <c r="H633" i="3"/>
  <c r="K633" i="3" s="1"/>
  <c r="L633" i="3" s="1"/>
  <c r="H634" i="3"/>
  <c r="K634" i="3" s="1"/>
  <c r="L634" i="3" s="1"/>
  <c r="H635" i="3"/>
  <c r="K635" i="3" s="1"/>
  <c r="H636" i="3"/>
  <c r="K636" i="3" s="1"/>
  <c r="H637" i="3"/>
  <c r="K637" i="3" s="1"/>
  <c r="H638" i="3"/>
  <c r="K638" i="3" s="1"/>
  <c r="H639" i="3"/>
  <c r="K639" i="3" s="1"/>
  <c r="L639" i="3" s="1"/>
  <c r="H640" i="3"/>
  <c r="K640" i="3" s="1"/>
  <c r="L640" i="3" s="1"/>
  <c r="H641" i="3"/>
  <c r="K641" i="3" s="1"/>
  <c r="L641" i="3" s="1"/>
  <c r="H642" i="3"/>
  <c r="K642" i="3" s="1"/>
  <c r="L642" i="3" s="1"/>
  <c r="H643" i="3"/>
  <c r="K643" i="3" s="1"/>
  <c r="L643" i="3" s="1"/>
  <c r="H644" i="3"/>
  <c r="K644" i="3" s="1"/>
  <c r="L644" i="3" s="1"/>
  <c r="H645" i="3"/>
  <c r="K645" i="3" s="1"/>
  <c r="L645" i="3" s="1"/>
  <c r="H646" i="3"/>
  <c r="K646" i="3" s="1"/>
  <c r="L646" i="3" s="1"/>
  <c r="H647" i="3"/>
  <c r="K647" i="3" s="1"/>
  <c r="H648" i="3"/>
  <c r="K648" i="3" s="1"/>
  <c r="H649" i="3"/>
  <c r="K649" i="3" s="1"/>
  <c r="H650" i="3"/>
  <c r="K650" i="3" s="1"/>
  <c r="H651" i="3"/>
  <c r="K651" i="3" s="1"/>
  <c r="L651" i="3" s="1"/>
  <c r="H652" i="3"/>
  <c r="K652" i="3" s="1"/>
  <c r="L652" i="3" s="1"/>
  <c r="H653" i="3"/>
  <c r="K653" i="3" s="1"/>
  <c r="L653" i="3" s="1"/>
  <c r="H654" i="3"/>
  <c r="K654" i="3" s="1"/>
  <c r="L654" i="3" s="1"/>
  <c r="H655" i="3"/>
  <c r="K655" i="3" s="1"/>
  <c r="L655" i="3" s="1"/>
  <c r="H656" i="3"/>
  <c r="K656" i="3" s="1"/>
  <c r="L656" i="3" s="1"/>
  <c r="H657" i="3"/>
  <c r="K657" i="3" s="1"/>
  <c r="L657" i="3" s="1"/>
  <c r="H658" i="3"/>
  <c r="K658" i="3" s="1"/>
  <c r="L658" i="3" s="1"/>
  <c r="H659" i="3"/>
  <c r="K659" i="3" s="1"/>
  <c r="H660" i="3"/>
  <c r="K660" i="3" s="1"/>
  <c r="H661" i="3"/>
  <c r="K661" i="3" s="1"/>
  <c r="H662" i="3"/>
  <c r="K662" i="3" s="1"/>
  <c r="H663" i="3"/>
  <c r="K663" i="3" s="1"/>
  <c r="L663" i="3" s="1"/>
  <c r="H664" i="3"/>
  <c r="K664" i="3" s="1"/>
  <c r="L664" i="3" s="1"/>
  <c r="H665" i="3"/>
  <c r="K665" i="3" s="1"/>
  <c r="L665" i="3" s="1"/>
  <c r="H666" i="3"/>
  <c r="K666" i="3" s="1"/>
  <c r="L666" i="3" s="1"/>
  <c r="H667" i="3"/>
  <c r="K667" i="3" s="1"/>
  <c r="L667" i="3" s="1"/>
  <c r="H668" i="3"/>
  <c r="K668" i="3" s="1"/>
  <c r="L668" i="3" s="1"/>
  <c r="H669" i="3"/>
  <c r="K669" i="3" s="1"/>
  <c r="L669" i="3" s="1"/>
  <c r="H670" i="3"/>
  <c r="K670" i="3" s="1"/>
  <c r="L670" i="3" s="1"/>
  <c r="H671" i="3"/>
  <c r="K671" i="3" s="1"/>
  <c r="H672" i="3"/>
  <c r="K672" i="3" s="1"/>
  <c r="H673" i="3"/>
  <c r="K673" i="3" s="1"/>
  <c r="H674" i="3"/>
  <c r="K674" i="3" s="1"/>
  <c r="H675" i="3"/>
  <c r="K675" i="3" s="1"/>
  <c r="L675" i="3" s="1"/>
  <c r="H676" i="3"/>
  <c r="K676" i="3" s="1"/>
  <c r="L676" i="3" s="1"/>
  <c r="H677" i="3"/>
  <c r="K677" i="3" s="1"/>
  <c r="L677" i="3" s="1"/>
  <c r="H678" i="3"/>
  <c r="K678" i="3" s="1"/>
  <c r="L678" i="3" s="1"/>
  <c r="H679" i="3"/>
  <c r="K679" i="3" s="1"/>
  <c r="L679" i="3" s="1"/>
  <c r="H680" i="3"/>
  <c r="K680" i="3" s="1"/>
  <c r="L680" i="3" s="1"/>
  <c r="H681" i="3"/>
  <c r="K681" i="3" s="1"/>
  <c r="L681" i="3" s="1"/>
  <c r="H682" i="3"/>
  <c r="K682" i="3" s="1"/>
  <c r="L682" i="3" s="1"/>
  <c r="H683" i="3"/>
  <c r="K683" i="3" s="1"/>
  <c r="H684" i="3"/>
  <c r="K684" i="3" s="1"/>
  <c r="H685" i="3"/>
  <c r="K685" i="3" s="1"/>
  <c r="H686" i="3"/>
  <c r="K686" i="3" s="1"/>
  <c r="H687" i="3"/>
  <c r="K687" i="3" s="1"/>
  <c r="L687" i="3" s="1"/>
  <c r="H688" i="3"/>
  <c r="K688" i="3" s="1"/>
  <c r="L688" i="3" s="1"/>
  <c r="H689" i="3"/>
  <c r="K689" i="3" s="1"/>
  <c r="L689" i="3" s="1"/>
  <c r="H690" i="3"/>
  <c r="K690" i="3" s="1"/>
  <c r="L690" i="3" s="1"/>
  <c r="H691" i="3"/>
  <c r="K691" i="3" s="1"/>
  <c r="L691" i="3" s="1"/>
  <c r="H692" i="3"/>
  <c r="K692" i="3" s="1"/>
  <c r="L692" i="3" s="1"/>
  <c r="H693" i="3"/>
  <c r="K693" i="3" s="1"/>
  <c r="L693" i="3" s="1"/>
  <c r="H694" i="3"/>
  <c r="K694" i="3" s="1"/>
  <c r="L694" i="3" s="1"/>
  <c r="H695" i="3"/>
  <c r="K695" i="3" s="1"/>
  <c r="H696" i="3"/>
  <c r="K696" i="3" s="1"/>
  <c r="H697" i="3"/>
  <c r="K697" i="3" s="1"/>
  <c r="H698" i="3"/>
  <c r="K698" i="3" s="1"/>
  <c r="H699" i="3"/>
  <c r="K699" i="3" s="1"/>
  <c r="L699" i="3" s="1"/>
  <c r="H700" i="3"/>
  <c r="K700" i="3" s="1"/>
  <c r="L700" i="3" s="1"/>
  <c r="H701" i="3"/>
  <c r="K701" i="3" s="1"/>
  <c r="L701" i="3" s="1"/>
  <c r="H702" i="3"/>
  <c r="K702" i="3" s="1"/>
  <c r="L702" i="3" s="1"/>
  <c r="H703" i="3"/>
  <c r="K703" i="3" s="1"/>
  <c r="L703" i="3" s="1"/>
  <c r="H704" i="3"/>
  <c r="K704" i="3" s="1"/>
  <c r="L704" i="3" s="1"/>
  <c r="H705" i="3"/>
  <c r="K705" i="3" s="1"/>
  <c r="L705" i="3" s="1"/>
  <c r="H706" i="3"/>
  <c r="K706" i="3" s="1"/>
  <c r="L706" i="3" s="1"/>
  <c r="H707" i="3"/>
  <c r="K707" i="3" s="1"/>
  <c r="H708" i="3"/>
  <c r="K708" i="3" s="1"/>
  <c r="H709" i="3"/>
  <c r="K709" i="3" s="1"/>
  <c r="H710" i="3"/>
  <c r="K710" i="3" s="1"/>
  <c r="H711" i="3"/>
  <c r="K711" i="3" s="1"/>
  <c r="L711" i="3" s="1"/>
  <c r="H712" i="3"/>
  <c r="K712" i="3" s="1"/>
  <c r="L712" i="3" s="1"/>
  <c r="H713" i="3"/>
  <c r="K713" i="3" s="1"/>
  <c r="L713" i="3" s="1"/>
  <c r="H714" i="3"/>
  <c r="K714" i="3" s="1"/>
  <c r="L714" i="3" s="1"/>
  <c r="H715" i="3"/>
  <c r="K715" i="3" s="1"/>
  <c r="L715" i="3" s="1"/>
  <c r="H716" i="3"/>
  <c r="K716" i="3" s="1"/>
  <c r="L716" i="3" s="1"/>
  <c r="H717" i="3"/>
  <c r="K717" i="3" s="1"/>
  <c r="L717" i="3" s="1"/>
  <c r="H718" i="3"/>
  <c r="K718" i="3" s="1"/>
  <c r="L718" i="3" s="1"/>
  <c r="H719" i="3"/>
  <c r="K719" i="3" s="1"/>
  <c r="H720" i="3"/>
  <c r="K720" i="3" s="1"/>
  <c r="H721" i="3"/>
  <c r="K721" i="3" s="1"/>
  <c r="H722" i="3"/>
  <c r="K722" i="3" s="1"/>
  <c r="H723" i="3"/>
  <c r="K723" i="3" s="1"/>
  <c r="L723" i="3" s="1"/>
  <c r="H724" i="3"/>
  <c r="K724" i="3" s="1"/>
  <c r="L724" i="3" s="1"/>
  <c r="H725" i="3"/>
  <c r="K725" i="3" s="1"/>
  <c r="L725" i="3" s="1"/>
  <c r="H726" i="3"/>
  <c r="K726" i="3" s="1"/>
  <c r="L726" i="3" s="1"/>
  <c r="H727" i="3"/>
  <c r="K727" i="3" s="1"/>
  <c r="L727" i="3" s="1"/>
  <c r="H728" i="3"/>
  <c r="K728" i="3" s="1"/>
  <c r="L728" i="3" s="1"/>
  <c r="H729" i="3"/>
  <c r="K729" i="3" s="1"/>
  <c r="L729" i="3" s="1"/>
  <c r="H730" i="3"/>
  <c r="K730" i="3" s="1"/>
  <c r="L730" i="3" s="1"/>
  <c r="H731" i="3"/>
  <c r="K731" i="3" s="1"/>
  <c r="H732" i="3"/>
  <c r="K732" i="3" s="1"/>
  <c r="H733" i="3"/>
  <c r="K733" i="3" s="1"/>
  <c r="H734" i="3"/>
  <c r="K734" i="3" s="1"/>
  <c r="H735" i="3"/>
  <c r="K735" i="3" s="1"/>
  <c r="L735" i="3" s="1"/>
  <c r="H736" i="3"/>
  <c r="K736" i="3" s="1"/>
  <c r="L736" i="3" s="1"/>
  <c r="H737" i="3"/>
  <c r="K737" i="3" s="1"/>
  <c r="L737" i="3" s="1"/>
  <c r="H738" i="3"/>
  <c r="K738" i="3" s="1"/>
  <c r="L738" i="3" s="1"/>
  <c r="H739" i="3"/>
  <c r="K739" i="3" s="1"/>
  <c r="L739" i="3" s="1"/>
  <c r="H740" i="3"/>
  <c r="K740" i="3" s="1"/>
  <c r="L740" i="3" s="1"/>
  <c r="H741" i="3"/>
  <c r="K741" i="3" s="1"/>
  <c r="L741" i="3" s="1"/>
  <c r="H742" i="3"/>
  <c r="K742" i="3" s="1"/>
  <c r="L742" i="3" s="1"/>
  <c r="H743" i="3"/>
  <c r="K743" i="3" s="1"/>
  <c r="H744" i="3"/>
  <c r="K744" i="3" s="1"/>
  <c r="H745" i="3"/>
  <c r="K745" i="3" s="1"/>
  <c r="H746" i="3"/>
  <c r="K746" i="3" s="1"/>
  <c r="H747" i="3"/>
  <c r="K747" i="3" s="1"/>
  <c r="L747" i="3" s="1"/>
  <c r="H748" i="3"/>
  <c r="K748" i="3" s="1"/>
  <c r="L748" i="3" s="1"/>
  <c r="H749" i="3"/>
  <c r="K749" i="3" s="1"/>
  <c r="L749" i="3" s="1"/>
  <c r="H750" i="3"/>
  <c r="K750" i="3" s="1"/>
  <c r="L750" i="3" s="1"/>
  <c r="H751" i="3"/>
  <c r="K751" i="3" s="1"/>
  <c r="L751" i="3" s="1"/>
  <c r="H752" i="3"/>
  <c r="K752" i="3" s="1"/>
  <c r="L752" i="3" s="1"/>
  <c r="H753" i="3"/>
  <c r="K753" i="3" s="1"/>
  <c r="L753" i="3" s="1"/>
  <c r="H754" i="3"/>
  <c r="K754" i="3" s="1"/>
  <c r="L754" i="3" s="1"/>
  <c r="H755" i="3"/>
  <c r="K755" i="3" s="1"/>
  <c r="H756" i="3"/>
  <c r="K756" i="3" s="1"/>
  <c r="H757" i="3"/>
  <c r="K757" i="3" s="1"/>
  <c r="H758" i="3"/>
  <c r="K758" i="3" s="1"/>
  <c r="H759" i="3"/>
  <c r="K759" i="3" s="1"/>
  <c r="L759" i="3" s="1"/>
  <c r="H760" i="3"/>
  <c r="K760" i="3" s="1"/>
  <c r="L760" i="3" s="1"/>
  <c r="H761" i="3"/>
  <c r="K761" i="3" s="1"/>
  <c r="L761" i="3" s="1"/>
  <c r="H762" i="3"/>
  <c r="K762" i="3" s="1"/>
  <c r="L762" i="3" s="1"/>
  <c r="H763" i="3"/>
  <c r="K763" i="3" s="1"/>
  <c r="L763" i="3" s="1"/>
  <c r="H764" i="3"/>
  <c r="K764" i="3" s="1"/>
  <c r="L764" i="3" s="1"/>
  <c r="H765" i="3"/>
  <c r="K765" i="3" s="1"/>
  <c r="L765" i="3" s="1"/>
  <c r="H766" i="3"/>
  <c r="K766" i="3" s="1"/>
  <c r="L766" i="3" s="1"/>
  <c r="H767" i="3"/>
  <c r="K767" i="3" s="1"/>
  <c r="H768" i="3"/>
  <c r="K768" i="3" s="1"/>
  <c r="H769" i="3"/>
  <c r="K769" i="3" s="1"/>
  <c r="H770" i="3"/>
  <c r="K770" i="3" s="1"/>
  <c r="H771" i="3"/>
  <c r="K771" i="3" s="1"/>
  <c r="L771" i="3" s="1"/>
  <c r="H772" i="3"/>
  <c r="K772" i="3" s="1"/>
  <c r="L772" i="3" s="1"/>
  <c r="H773" i="3"/>
  <c r="K773" i="3" s="1"/>
  <c r="L773" i="3" s="1"/>
  <c r="H774" i="3"/>
  <c r="K774" i="3" s="1"/>
  <c r="L774" i="3" s="1"/>
  <c r="H775" i="3"/>
  <c r="K775" i="3" s="1"/>
  <c r="L775" i="3" s="1"/>
  <c r="H776" i="3"/>
  <c r="K776" i="3" s="1"/>
  <c r="L776" i="3" s="1"/>
  <c r="H777" i="3"/>
  <c r="K777" i="3" s="1"/>
  <c r="L777" i="3" s="1"/>
  <c r="H778" i="3"/>
  <c r="K778" i="3" s="1"/>
  <c r="L778" i="3" s="1"/>
  <c r="H779" i="3"/>
  <c r="K779" i="3" s="1"/>
  <c r="H780" i="3"/>
  <c r="K780" i="3" s="1"/>
  <c r="H781" i="3"/>
  <c r="K781" i="3" s="1"/>
  <c r="H782" i="3"/>
  <c r="K782" i="3" s="1"/>
  <c r="H783" i="3"/>
  <c r="K783" i="3" s="1"/>
  <c r="L783" i="3" s="1"/>
  <c r="H784" i="3"/>
  <c r="K784" i="3" s="1"/>
  <c r="L784" i="3" s="1"/>
  <c r="H785" i="3"/>
  <c r="K785" i="3" s="1"/>
  <c r="L785" i="3" s="1"/>
  <c r="H786" i="3"/>
  <c r="K786" i="3" s="1"/>
  <c r="L786" i="3" s="1"/>
  <c r="H787" i="3"/>
  <c r="K787" i="3" s="1"/>
  <c r="L787" i="3" s="1"/>
  <c r="H788" i="3"/>
  <c r="K788" i="3" s="1"/>
  <c r="L788" i="3" s="1"/>
  <c r="H789" i="3"/>
  <c r="K789" i="3" s="1"/>
  <c r="L789" i="3" s="1"/>
  <c r="H790" i="3"/>
  <c r="K790" i="3" s="1"/>
  <c r="L790" i="3" s="1"/>
  <c r="H791" i="3"/>
  <c r="K791" i="3" s="1"/>
  <c r="H792" i="3"/>
  <c r="K792" i="3" s="1"/>
  <c r="H793" i="3"/>
  <c r="K793" i="3" s="1"/>
  <c r="H794" i="3"/>
  <c r="K794" i="3" s="1"/>
  <c r="H795" i="3"/>
  <c r="K795" i="3" s="1"/>
  <c r="L795" i="3" s="1"/>
  <c r="H796" i="3"/>
  <c r="K796" i="3" s="1"/>
  <c r="L796" i="3" s="1"/>
  <c r="H797" i="3"/>
  <c r="K797" i="3" s="1"/>
  <c r="L797" i="3" s="1"/>
  <c r="H798" i="3"/>
  <c r="K798" i="3" s="1"/>
  <c r="L798" i="3" s="1"/>
  <c r="H799" i="3"/>
  <c r="K799" i="3" s="1"/>
  <c r="L799" i="3" s="1"/>
  <c r="H800" i="3"/>
  <c r="K800" i="3" s="1"/>
  <c r="L800" i="3" s="1"/>
  <c r="H801" i="3"/>
  <c r="K801" i="3" s="1"/>
  <c r="L801" i="3" s="1"/>
  <c r="H802" i="3"/>
  <c r="K802" i="3" s="1"/>
  <c r="L802" i="3" s="1"/>
  <c r="H803" i="3"/>
  <c r="K803" i="3" s="1"/>
  <c r="H804" i="3"/>
  <c r="K804" i="3" s="1"/>
  <c r="H805" i="3"/>
  <c r="K805" i="3" s="1"/>
  <c r="H806" i="3"/>
  <c r="K806" i="3" s="1"/>
  <c r="H807" i="3"/>
  <c r="K807" i="3" s="1"/>
  <c r="L807" i="3" s="1"/>
  <c r="H808" i="3"/>
  <c r="K808" i="3" s="1"/>
  <c r="L808" i="3" s="1"/>
  <c r="H809" i="3"/>
  <c r="K809" i="3" s="1"/>
  <c r="L809" i="3" s="1"/>
  <c r="H810" i="3"/>
  <c r="K810" i="3" s="1"/>
  <c r="L810" i="3" s="1"/>
  <c r="H811" i="3"/>
  <c r="K811" i="3" s="1"/>
  <c r="L811" i="3" s="1"/>
  <c r="H812" i="3"/>
  <c r="K812" i="3" s="1"/>
  <c r="L812" i="3" s="1"/>
  <c r="H813" i="3"/>
  <c r="K813" i="3" s="1"/>
  <c r="L813" i="3" s="1"/>
  <c r="H814" i="3"/>
  <c r="K814" i="3" s="1"/>
  <c r="L814" i="3" s="1"/>
  <c r="H815" i="3"/>
  <c r="K815" i="3" s="1"/>
  <c r="H816" i="3"/>
  <c r="K816" i="3" s="1"/>
  <c r="H817" i="3"/>
  <c r="K817" i="3" s="1"/>
  <c r="H818" i="3"/>
  <c r="K818" i="3" s="1"/>
  <c r="H819" i="3"/>
  <c r="K819" i="3" s="1"/>
  <c r="L819" i="3" s="1"/>
  <c r="H820" i="3"/>
  <c r="K820" i="3" s="1"/>
  <c r="L820" i="3" s="1"/>
  <c r="H821" i="3"/>
  <c r="K821" i="3" s="1"/>
  <c r="L821" i="3" s="1"/>
  <c r="H822" i="3"/>
  <c r="K822" i="3" s="1"/>
  <c r="L822" i="3" s="1"/>
  <c r="H823" i="3"/>
  <c r="K823" i="3" s="1"/>
  <c r="L823" i="3" s="1"/>
  <c r="H824" i="3"/>
  <c r="K824" i="3" s="1"/>
  <c r="L824" i="3" s="1"/>
  <c r="H825" i="3"/>
  <c r="K825" i="3" s="1"/>
  <c r="L825" i="3" s="1"/>
  <c r="H826" i="3"/>
  <c r="K826" i="3" s="1"/>
  <c r="L826" i="3" s="1"/>
  <c r="H827" i="3"/>
  <c r="K827" i="3" s="1"/>
  <c r="H828" i="3"/>
  <c r="K828" i="3" s="1"/>
  <c r="H829" i="3"/>
  <c r="K829" i="3" s="1"/>
  <c r="H830" i="3"/>
  <c r="K830" i="3" s="1"/>
  <c r="H831" i="3"/>
  <c r="K831" i="3" s="1"/>
  <c r="L831" i="3" s="1"/>
  <c r="H832" i="3"/>
  <c r="K832" i="3" s="1"/>
  <c r="L832" i="3" s="1"/>
  <c r="H833" i="3"/>
  <c r="K833" i="3" s="1"/>
  <c r="L833" i="3" s="1"/>
  <c r="H834" i="3"/>
  <c r="K834" i="3" s="1"/>
  <c r="L834" i="3" s="1"/>
  <c r="H835" i="3"/>
  <c r="K835" i="3" s="1"/>
  <c r="L835" i="3" s="1"/>
  <c r="H836" i="3"/>
  <c r="K836" i="3" s="1"/>
  <c r="L836" i="3" s="1"/>
  <c r="H837" i="3"/>
  <c r="K837" i="3" s="1"/>
  <c r="L837" i="3" s="1"/>
  <c r="H838" i="3"/>
  <c r="K838" i="3" s="1"/>
  <c r="L838" i="3" s="1"/>
  <c r="H839" i="3"/>
  <c r="K839" i="3" s="1"/>
  <c r="L839" i="3" s="1"/>
  <c r="H840" i="3"/>
  <c r="K840" i="3" s="1"/>
  <c r="H841" i="3"/>
  <c r="K841" i="3" s="1"/>
  <c r="H842" i="3"/>
  <c r="K842" i="3" s="1"/>
  <c r="H843" i="3"/>
  <c r="K843" i="3" s="1"/>
  <c r="L843" i="3" s="1"/>
  <c r="H844" i="3"/>
  <c r="K844" i="3" s="1"/>
  <c r="L844" i="3" s="1"/>
  <c r="H845" i="3"/>
  <c r="K845" i="3" s="1"/>
  <c r="L845" i="3" s="1"/>
  <c r="H846" i="3"/>
  <c r="K846" i="3" s="1"/>
  <c r="L846" i="3" s="1"/>
  <c r="H847" i="3"/>
  <c r="K847" i="3" s="1"/>
  <c r="L847" i="3" s="1"/>
  <c r="H848" i="3"/>
  <c r="K848" i="3" s="1"/>
  <c r="L848" i="3" s="1"/>
  <c r="H849" i="3"/>
  <c r="K849" i="3" s="1"/>
  <c r="L849" i="3" s="1"/>
  <c r="H850" i="3"/>
  <c r="K850" i="3" s="1"/>
  <c r="L850" i="3" s="1"/>
  <c r="H851" i="3"/>
  <c r="K851" i="3" s="1"/>
  <c r="L851" i="3" s="1"/>
  <c r="H852" i="3"/>
  <c r="K852" i="3" s="1"/>
  <c r="H853" i="3"/>
  <c r="K853" i="3" s="1"/>
  <c r="H854" i="3"/>
  <c r="K854" i="3" s="1"/>
  <c r="H855" i="3"/>
  <c r="K855" i="3" s="1"/>
  <c r="L855" i="3" s="1"/>
  <c r="H856" i="3"/>
  <c r="K856" i="3" s="1"/>
  <c r="L856" i="3" s="1"/>
  <c r="H857" i="3"/>
  <c r="K857" i="3" s="1"/>
  <c r="L857" i="3" s="1"/>
  <c r="H858" i="3"/>
  <c r="K858" i="3" s="1"/>
  <c r="L858" i="3" s="1"/>
  <c r="H859" i="3"/>
  <c r="K859" i="3" s="1"/>
  <c r="L859" i="3" s="1"/>
  <c r="H860" i="3"/>
  <c r="K860" i="3" s="1"/>
  <c r="L860" i="3" s="1"/>
  <c r="H861" i="3"/>
  <c r="K861" i="3" s="1"/>
  <c r="L861" i="3" s="1"/>
  <c r="H862" i="3"/>
  <c r="K862" i="3" s="1"/>
  <c r="L862" i="3" s="1"/>
  <c r="H863" i="3"/>
  <c r="K863" i="3" s="1"/>
  <c r="L863" i="3" s="1"/>
  <c r="H864" i="3"/>
  <c r="K864" i="3" s="1"/>
  <c r="H865" i="3"/>
  <c r="K865" i="3" s="1"/>
  <c r="H866" i="3"/>
  <c r="K866" i="3" s="1"/>
  <c r="H867" i="3"/>
  <c r="K867" i="3" s="1"/>
  <c r="L867" i="3" s="1"/>
  <c r="H868" i="3"/>
  <c r="K868" i="3" s="1"/>
  <c r="L868" i="3" s="1"/>
  <c r="H869" i="3"/>
  <c r="K869" i="3" s="1"/>
  <c r="L869" i="3" s="1"/>
  <c r="H870" i="3"/>
  <c r="K870" i="3" s="1"/>
  <c r="L870" i="3" s="1"/>
  <c r="H871" i="3"/>
  <c r="K871" i="3" s="1"/>
  <c r="L871" i="3" s="1"/>
  <c r="H872" i="3"/>
  <c r="K872" i="3" s="1"/>
  <c r="L872" i="3" s="1"/>
  <c r="H873" i="3"/>
  <c r="K873" i="3" s="1"/>
  <c r="L873" i="3" s="1"/>
  <c r="H874" i="3"/>
  <c r="K874" i="3" s="1"/>
  <c r="L874" i="3" s="1"/>
  <c r="H875" i="3"/>
  <c r="K875" i="3" s="1"/>
  <c r="L875" i="3" s="1"/>
  <c r="H876" i="3"/>
  <c r="K876" i="3" s="1"/>
  <c r="H877" i="3"/>
  <c r="K877" i="3" s="1"/>
  <c r="H878" i="3"/>
  <c r="K878" i="3" s="1"/>
  <c r="H879" i="3"/>
  <c r="K879" i="3" s="1"/>
  <c r="L879" i="3" s="1"/>
  <c r="H880" i="3"/>
  <c r="K880" i="3" s="1"/>
  <c r="L880" i="3" s="1"/>
  <c r="H881" i="3"/>
  <c r="K881" i="3" s="1"/>
  <c r="L881" i="3" s="1"/>
  <c r="H882" i="3"/>
  <c r="K882" i="3" s="1"/>
  <c r="L882" i="3" s="1"/>
  <c r="H883" i="3"/>
  <c r="K883" i="3" s="1"/>
  <c r="L883" i="3" s="1"/>
  <c r="H884" i="3"/>
  <c r="K884" i="3" s="1"/>
  <c r="L884" i="3" s="1"/>
  <c r="H885" i="3"/>
  <c r="K885" i="3" s="1"/>
  <c r="L885" i="3" s="1"/>
  <c r="H886" i="3"/>
  <c r="K886" i="3" s="1"/>
  <c r="L886" i="3" s="1"/>
  <c r="H887" i="3"/>
  <c r="K887" i="3" s="1"/>
  <c r="L887" i="3" s="1"/>
  <c r="H888" i="3"/>
  <c r="K888" i="3" s="1"/>
  <c r="H889" i="3"/>
  <c r="K889" i="3" s="1"/>
  <c r="H890" i="3"/>
  <c r="K890" i="3" s="1"/>
  <c r="H891" i="3"/>
  <c r="K891" i="3" s="1"/>
  <c r="L891" i="3" s="1"/>
  <c r="H892" i="3"/>
  <c r="K892" i="3" s="1"/>
  <c r="L892" i="3" s="1"/>
  <c r="H893" i="3"/>
  <c r="K893" i="3" s="1"/>
  <c r="L893" i="3" s="1"/>
  <c r="H894" i="3"/>
  <c r="K894" i="3" s="1"/>
  <c r="L894" i="3" s="1"/>
  <c r="H895" i="3"/>
  <c r="K895" i="3" s="1"/>
  <c r="L895" i="3" s="1"/>
  <c r="H896" i="3"/>
  <c r="K896" i="3" s="1"/>
  <c r="L896" i="3" s="1"/>
  <c r="H897" i="3"/>
  <c r="K897" i="3" s="1"/>
  <c r="L897" i="3" s="1"/>
  <c r="H898" i="3"/>
  <c r="K898" i="3" s="1"/>
  <c r="L898" i="3" s="1"/>
  <c r="H899" i="3"/>
  <c r="K899" i="3" s="1"/>
  <c r="L899" i="3" s="1"/>
  <c r="H900" i="3"/>
  <c r="K900" i="3" s="1"/>
  <c r="H901" i="3"/>
  <c r="K901" i="3" s="1"/>
  <c r="H902" i="3"/>
  <c r="K902" i="3" s="1"/>
  <c r="H903" i="3"/>
  <c r="K903" i="3" s="1"/>
  <c r="L903" i="3" s="1"/>
  <c r="H904" i="3"/>
  <c r="K904" i="3" s="1"/>
  <c r="L904" i="3" s="1"/>
  <c r="H905" i="3"/>
  <c r="K905" i="3" s="1"/>
  <c r="L905" i="3" s="1"/>
  <c r="H906" i="3"/>
  <c r="K906" i="3" s="1"/>
  <c r="L906" i="3" s="1"/>
  <c r="H907" i="3"/>
  <c r="K907" i="3" s="1"/>
  <c r="L907" i="3" s="1"/>
  <c r="H908" i="3"/>
  <c r="K908" i="3" s="1"/>
  <c r="L908" i="3" s="1"/>
  <c r="H909" i="3"/>
  <c r="K909" i="3" s="1"/>
  <c r="L909" i="3" s="1"/>
  <c r="H910" i="3"/>
  <c r="K910" i="3" s="1"/>
  <c r="L910" i="3" s="1"/>
  <c r="H911" i="3"/>
  <c r="K911" i="3" s="1"/>
  <c r="L911" i="3" s="1"/>
  <c r="H912" i="3"/>
  <c r="K912" i="3" s="1"/>
  <c r="H913" i="3"/>
  <c r="K913" i="3" s="1"/>
  <c r="H914" i="3"/>
  <c r="K914" i="3" s="1"/>
  <c r="H915" i="3"/>
  <c r="K915" i="3" s="1"/>
  <c r="L915" i="3" s="1"/>
  <c r="H916" i="3"/>
  <c r="K916" i="3" s="1"/>
  <c r="L916" i="3" s="1"/>
  <c r="H917" i="3"/>
  <c r="K917" i="3" s="1"/>
  <c r="L917" i="3" s="1"/>
  <c r="H918" i="3"/>
  <c r="K918" i="3" s="1"/>
  <c r="L918" i="3" s="1"/>
  <c r="H919" i="3"/>
  <c r="K919" i="3" s="1"/>
  <c r="L919" i="3" s="1"/>
  <c r="H920" i="3"/>
  <c r="K920" i="3" s="1"/>
  <c r="L920" i="3" s="1"/>
  <c r="H921" i="3"/>
  <c r="K921" i="3" s="1"/>
  <c r="L921" i="3" s="1"/>
  <c r="H922" i="3"/>
  <c r="K922" i="3" s="1"/>
  <c r="L922" i="3" s="1"/>
  <c r="H923" i="3"/>
  <c r="K923" i="3" s="1"/>
  <c r="L923" i="3" s="1"/>
  <c r="H924" i="3"/>
  <c r="K924" i="3" s="1"/>
  <c r="H925" i="3"/>
  <c r="K925" i="3" s="1"/>
  <c r="H926" i="3"/>
  <c r="K926" i="3" s="1"/>
  <c r="H927" i="3"/>
  <c r="K927" i="3" s="1"/>
  <c r="L927" i="3" s="1"/>
  <c r="H928" i="3"/>
  <c r="K928" i="3" s="1"/>
  <c r="L928" i="3" s="1"/>
  <c r="H929" i="3"/>
  <c r="K929" i="3" s="1"/>
  <c r="L929" i="3" s="1"/>
  <c r="H930" i="3"/>
  <c r="K930" i="3" s="1"/>
  <c r="L930" i="3" s="1"/>
  <c r="H931" i="3"/>
  <c r="K931" i="3" s="1"/>
  <c r="L931" i="3" s="1"/>
  <c r="H932" i="3"/>
  <c r="K932" i="3" s="1"/>
  <c r="L932" i="3" s="1"/>
  <c r="H933" i="3"/>
  <c r="K933" i="3" s="1"/>
  <c r="L933" i="3" s="1"/>
  <c r="H934" i="3"/>
  <c r="K934" i="3" s="1"/>
  <c r="L934" i="3" s="1"/>
  <c r="H935" i="3"/>
  <c r="K935" i="3" s="1"/>
  <c r="L935" i="3" s="1"/>
  <c r="H936" i="3"/>
  <c r="K936" i="3" s="1"/>
  <c r="H937" i="3"/>
  <c r="K937" i="3" s="1"/>
  <c r="H938" i="3"/>
  <c r="K938" i="3" s="1"/>
  <c r="H939" i="3"/>
  <c r="K939" i="3" s="1"/>
  <c r="L939" i="3" s="1"/>
  <c r="H940" i="3"/>
  <c r="K940" i="3" s="1"/>
  <c r="L940" i="3" s="1"/>
  <c r="H941" i="3"/>
  <c r="K941" i="3" s="1"/>
  <c r="L941" i="3" s="1"/>
  <c r="H942" i="3"/>
  <c r="K942" i="3" s="1"/>
  <c r="L942" i="3" s="1"/>
  <c r="H943" i="3"/>
  <c r="K943" i="3" s="1"/>
  <c r="L943" i="3" s="1"/>
  <c r="H944" i="3"/>
  <c r="K944" i="3" s="1"/>
  <c r="L944" i="3" s="1"/>
  <c r="H945" i="3"/>
  <c r="K945" i="3" s="1"/>
  <c r="L945" i="3" s="1"/>
  <c r="H946" i="3"/>
  <c r="K946" i="3" s="1"/>
  <c r="L946" i="3" s="1"/>
  <c r="H947" i="3"/>
  <c r="K947" i="3" s="1"/>
  <c r="L947" i="3" s="1"/>
  <c r="H948" i="3"/>
  <c r="K948" i="3" s="1"/>
  <c r="H949" i="3"/>
  <c r="K949" i="3" s="1"/>
  <c r="H950" i="3"/>
  <c r="K950" i="3" s="1"/>
  <c r="H951" i="3"/>
  <c r="K951" i="3" s="1"/>
  <c r="L951" i="3" s="1"/>
  <c r="H952" i="3"/>
  <c r="K952" i="3" s="1"/>
  <c r="L952" i="3" s="1"/>
  <c r="H953" i="3"/>
  <c r="K953" i="3" s="1"/>
  <c r="L953" i="3" s="1"/>
  <c r="H954" i="3"/>
  <c r="K954" i="3" s="1"/>
  <c r="L954" i="3" s="1"/>
  <c r="H955" i="3"/>
  <c r="K955" i="3" s="1"/>
  <c r="L955" i="3" s="1"/>
  <c r="H956" i="3"/>
  <c r="K956" i="3" s="1"/>
  <c r="L956" i="3" s="1"/>
  <c r="H957" i="3"/>
  <c r="K957" i="3" s="1"/>
  <c r="L957" i="3" s="1"/>
  <c r="H958" i="3"/>
  <c r="K958" i="3" s="1"/>
  <c r="L958" i="3" s="1"/>
  <c r="H959" i="3"/>
  <c r="K959" i="3" s="1"/>
  <c r="L959" i="3" s="1"/>
  <c r="H960" i="3"/>
  <c r="K960" i="3" s="1"/>
  <c r="H961" i="3"/>
  <c r="K961" i="3" s="1"/>
  <c r="H962" i="3"/>
  <c r="K962" i="3" s="1"/>
  <c r="H963" i="3"/>
  <c r="K963" i="3" s="1"/>
  <c r="L963" i="3" s="1"/>
  <c r="H964" i="3"/>
  <c r="K964" i="3" s="1"/>
  <c r="L964" i="3" s="1"/>
  <c r="H965" i="3"/>
  <c r="K965" i="3" s="1"/>
  <c r="L965" i="3" s="1"/>
  <c r="H966" i="3"/>
  <c r="K966" i="3" s="1"/>
  <c r="L966" i="3" s="1"/>
  <c r="H967" i="3"/>
  <c r="K967" i="3" s="1"/>
  <c r="L967" i="3" s="1"/>
  <c r="H968" i="3"/>
  <c r="K968" i="3" s="1"/>
  <c r="L968" i="3" s="1"/>
  <c r="H969" i="3"/>
  <c r="K969" i="3" s="1"/>
  <c r="L969" i="3" s="1"/>
  <c r="H970" i="3"/>
  <c r="K970" i="3" s="1"/>
  <c r="L970" i="3" s="1"/>
  <c r="H971" i="3"/>
  <c r="K971" i="3" s="1"/>
  <c r="L971" i="3" s="1"/>
  <c r="H972" i="3"/>
  <c r="K972" i="3" s="1"/>
  <c r="H973" i="3"/>
  <c r="K973" i="3" s="1"/>
  <c r="H974" i="3"/>
  <c r="K974" i="3" s="1"/>
  <c r="H975" i="3"/>
  <c r="K975" i="3" s="1"/>
  <c r="L975" i="3" s="1"/>
  <c r="H976" i="3"/>
  <c r="K976" i="3" s="1"/>
  <c r="L976" i="3" s="1"/>
  <c r="H977" i="3"/>
  <c r="K977" i="3" s="1"/>
  <c r="L977" i="3" s="1"/>
  <c r="H978" i="3"/>
  <c r="K978" i="3" s="1"/>
  <c r="L978" i="3" s="1"/>
  <c r="H979" i="3"/>
  <c r="K979" i="3" s="1"/>
  <c r="L979" i="3" s="1"/>
  <c r="H980" i="3"/>
  <c r="K980" i="3" s="1"/>
  <c r="L980" i="3" s="1"/>
  <c r="H981" i="3"/>
  <c r="K981" i="3" s="1"/>
  <c r="L981" i="3" s="1"/>
  <c r="H982" i="3"/>
  <c r="K982" i="3" s="1"/>
  <c r="L982" i="3" s="1"/>
  <c r="H983" i="3"/>
  <c r="K983" i="3" s="1"/>
  <c r="L983" i="3" s="1"/>
  <c r="H984" i="3"/>
  <c r="K984" i="3" s="1"/>
  <c r="H985" i="3"/>
  <c r="K985" i="3" s="1"/>
  <c r="H986" i="3"/>
  <c r="K986" i="3" s="1"/>
  <c r="H987" i="3"/>
  <c r="K987" i="3" s="1"/>
  <c r="L987" i="3" s="1"/>
  <c r="H988" i="3"/>
  <c r="K988" i="3" s="1"/>
  <c r="L988" i="3" s="1"/>
  <c r="H989" i="3"/>
  <c r="K989" i="3" s="1"/>
  <c r="L989" i="3" s="1"/>
  <c r="H990" i="3"/>
  <c r="K990" i="3" s="1"/>
  <c r="L990" i="3" s="1"/>
  <c r="H991" i="3"/>
  <c r="K991" i="3" s="1"/>
  <c r="L991" i="3" s="1"/>
  <c r="H992" i="3"/>
  <c r="K992" i="3" s="1"/>
  <c r="L992" i="3" s="1"/>
  <c r="H993" i="3"/>
  <c r="K993" i="3" s="1"/>
  <c r="L993" i="3" s="1"/>
  <c r="H994" i="3"/>
  <c r="K994" i="3" s="1"/>
  <c r="L994" i="3" s="1"/>
  <c r="H995" i="3"/>
  <c r="K995" i="3" s="1"/>
  <c r="L995" i="3" s="1"/>
  <c r="H996" i="3"/>
  <c r="K996" i="3" s="1"/>
  <c r="H997" i="3"/>
  <c r="K997" i="3" s="1"/>
  <c r="H998" i="3"/>
  <c r="K998" i="3" s="1"/>
  <c r="H999" i="3"/>
  <c r="K999" i="3" s="1"/>
  <c r="L999" i="3" s="1"/>
  <c r="H1000" i="3"/>
  <c r="K1000" i="3" s="1"/>
  <c r="L1000" i="3" s="1"/>
  <c r="H1001" i="3"/>
  <c r="K1001" i="3" s="1"/>
  <c r="L1001" i="3" s="1"/>
  <c r="H3" i="3"/>
  <c r="K3" i="3" s="1"/>
  <c r="L3" i="3" s="1"/>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801" i="3"/>
  <c r="A802" i="3"/>
  <c r="A803" i="3"/>
  <c r="A804" i="3"/>
  <c r="A805" i="3"/>
  <c r="A806" i="3"/>
  <c r="A807" i="3"/>
  <c r="A808" i="3"/>
  <c r="A809" i="3"/>
  <c r="A810" i="3"/>
  <c r="A811" i="3"/>
  <c r="A812" i="3"/>
  <c r="A813" i="3"/>
  <c r="A814" i="3"/>
  <c r="A815" i="3"/>
  <c r="A816" i="3"/>
  <c r="A817" i="3"/>
  <c r="A818" i="3"/>
  <c r="A819" i="3"/>
  <c r="A820" i="3"/>
  <c r="A821" i="3"/>
  <c r="A822" i="3"/>
  <c r="A823" i="3"/>
  <c r="A824" i="3"/>
  <c r="A825" i="3"/>
  <c r="A826" i="3"/>
  <c r="A827" i="3"/>
  <c r="A828" i="3"/>
  <c r="A829" i="3"/>
  <c r="A830" i="3"/>
  <c r="A831" i="3"/>
  <c r="A832" i="3"/>
  <c r="A833" i="3"/>
  <c r="A834" i="3"/>
  <c r="A835" i="3"/>
  <c r="A836" i="3"/>
  <c r="A837" i="3"/>
  <c r="A838" i="3"/>
  <c r="A839" i="3"/>
  <c r="A840" i="3"/>
  <c r="A841" i="3"/>
  <c r="A842" i="3"/>
  <c r="A843" i="3"/>
  <c r="A844" i="3"/>
  <c r="A845" i="3"/>
  <c r="A846" i="3"/>
  <c r="A847" i="3"/>
  <c r="A848" i="3"/>
  <c r="A849" i="3"/>
  <c r="A850" i="3"/>
  <c r="A851" i="3"/>
  <c r="A852" i="3"/>
  <c r="A853" i="3"/>
  <c r="A854" i="3"/>
  <c r="A855" i="3"/>
  <c r="A856" i="3"/>
  <c r="A857" i="3"/>
  <c r="A858" i="3"/>
  <c r="A859" i="3"/>
  <c r="A860" i="3"/>
  <c r="A861" i="3"/>
  <c r="A862" i="3"/>
  <c r="A863" i="3"/>
  <c r="A864" i="3"/>
  <c r="A865" i="3"/>
  <c r="A866" i="3"/>
  <c r="A867" i="3"/>
  <c r="A868" i="3"/>
  <c r="A869" i="3"/>
  <c r="A870" i="3"/>
  <c r="A871" i="3"/>
  <c r="A872" i="3"/>
  <c r="A873" i="3"/>
  <c r="A874" i="3"/>
  <c r="A875" i="3"/>
  <c r="A876" i="3"/>
  <c r="A877" i="3"/>
  <c r="A878" i="3"/>
  <c r="A879" i="3"/>
  <c r="A880" i="3"/>
  <c r="A881" i="3"/>
  <c r="A882" i="3"/>
  <c r="A883" i="3"/>
  <c r="A884" i="3"/>
  <c r="A885" i="3"/>
  <c r="A886" i="3"/>
  <c r="A887" i="3"/>
  <c r="A888" i="3"/>
  <c r="A889" i="3"/>
  <c r="A890" i="3"/>
  <c r="A891" i="3"/>
  <c r="A892" i="3"/>
  <c r="A893" i="3"/>
  <c r="A894" i="3"/>
  <c r="A895" i="3"/>
  <c r="A896" i="3"/>
  <c r="A897" i="3"/>
  <c r="A898" i="3"/>
  <c r="A899" i="3"/>
  <c r="A900" i="3"/>
  <c r="A901" i="3"/>
  <c r="A902" i="3"/>
  <c r="A903" i="3"/>
  <c r="A904" i="3"/>
  <c r="A905" i="3"/>
  <c r="A906" i="3"/>
  <c r="A907" i="3"/>
  <c r="A908" i="3"/>
  <c r="A909" i="3"/>
  <c r="A910" i="3"/>
  <c r="A911" i="3"/>
  <c r="A912" i="3"/>
  <c r="A913" i="3"/>
  <c r="A914" i="3"/>
  <c r="A915" i="3"/>
  <c r="A916" i="3"/>
  <c r="A917" i="3"/>
  <c r="A918" i="3"/>
  <c r="A919" i="3"/>
  <c r="A920" i="3"/>
  <c r="A921" i="3"/>
  <c r="A922" i="3"/>
  <c r="A923" i="3"/>
  <c r="A924" i="3"/>
  <c r="A925" i="3"/>
  <c r="A926" i="3"/>
  <c r="A927" i="3"/>
  <c r="A928" i="3"/>
  <c r="A929" i="3"/>
  <c r="A930" i="3"/>
  <c r="A931" i="3"/>
  <c r="A932" i="3"/>
  <c r="A933" i="3"/>
  <c r="A934" i="3"/>
  <c r="A935" i="3"/>
  <c r="A936" i="3"/>
  <c r="A937" i="3"/>
  <c r="A938" i="3"/>
  <c r="A939" i="3"/>
  <c r="A940" i="3"/>
  <c r="A941" i="3"/>
  <c r="A942" i="3"/>
  <c r="A943" i="3"/>
  <c r="A944" i="3"/>
  <c r="A945" i="3"/>
  <c r="A946" i="3"/>
  <c r="A947" i="3"/>
  <c r="A948" i="3"/>
  <c r="A949" i="3"/>
  <c r="A950" i="3"/>
  <c r="A951" i="3"/>
  <c r="A952" i="3"/>
  <c r="A953" i="3"/>
  <c r="A954" i="3"/>
  <c r="A955" i="3"/>
  <c r="A956" i="3"/>
  <c r="A957" i="3"/>
  <c r="A958" i="3"/>
  <c r="A959" i="3"/>
  <c r="A960" i="3"/>
  <c r="A961" i="3"/>
  <c r="A962" i="3"/>
  <c r="A963" i="3"/>
  <c r="A964" i="3"/>
  <c r="A965" i="3"/>
  <c r="A966" i="3"/>
  <c r="A967" i="3"/>
  <c r="A968" i="3"/>
  <c r="A969" i="3"/>
  <c r="A970" i="3"/>
  <c r="A971" i="3"/>
  <c r="A972" i="3"/>
  <c r="A973" i="3"/>
  <c r="A974" i="3"/>
  <c r="A975" i="3"/>
  <c r="A976" i="3"/>
  <c r="A977" i="3"/>
  <c r="A978" i="3"/>
  <c r="A979" i="3"/>
  <c r="A980" i="3"/>
  <c r="A981" i="3"/>
  <c r="A982" i="3"/>
  <c r="A983" i="3"/>
  <c r="A984" i="3"/>
  <c r="A985" i="3"/>
  <c r="A986" i="3"/>
  <c r="A987" i="3"/>
  <c r="A988" i="3"/>
  <c r="A989" i="3"/>
  <c r="A990" i="3"/>
  <c r="A991" i="3"/>
  <c r="A992" i="3"/>
  <c r="A993" i="3"/>
  <c r="A994" i="3"/>
  <c r="A995" i="3"/>
  <c r="A996" i="3"/>
  <c r="A997" i="3"/>
  <c r="A998" i="3"/>
  <c r="A999" i="3"/>
  <c r="A1000" i="3"/>
  <c r="A1001" i="3"/>
  <c r="A2" i="3"/>
  <c r="L500" i="3" l="1"/>
  <c r="L488" i="3"/>
  <c r="L476" i="3"/>
  <c r="L464" i="3"/>
  <c r="L452" i="3"/>
  <c r="L440" i="3"/>
  <c r="L428" i="3"/>
  <c r="L416" i="3"/>
  <c r="L404" i="3"/>
  <c r="L392" i="3"/>
  <c r="L380" i="3"/>
  <c r="L368" i="3"/>
  <c r="L356" i="3"/>
  <c r="L344" i="3"/>
  <c r="L332" i="3"/>
  <c r="L320" i="3"/>
  <c r="L308" i="3"/>
  <c r="L296" i="3"/>
  <c r="L284" i="3"/>
  <c r="L272" i="3"/>
  <c r="L260" i="3"/>
  <c r="L248" i="3"/>
  <c r="L236" i="3"/>
  <c r="L224" i="3"/>
  <c r="L212" i="3"/>
  <c r="L200" i="3"/>
  <c r="L188" i="3"/>
  <c r="L176" i="3"/>
  <c r="L164" i="3"/>
  <c r="L152" i="3"/>
  <c r="L140" i="3"/>
  <c r="L128" i="3"/>
  <c r="L116" i="3"/>
  <c r="L104" i="3"/>
  <c r="L92" i="3"/>
  <c r="L80" i="3"/>
  <c r="L68" i="3"/>
  <c r="L56" i="3"/>
  <c r="L44" i="3"/>
  <c r="L32" i="3"/>
  <c r="L20" i="3"/>
  <c r="L986" i="3"/>
  <c r="L962" i="3"/>
  <c r="L902" i="3"/>
  <c r="L854" i="3"/>
  <c r="L818" i="3"/>
  <c r="L782" i="3"/>
  <c r="L746" i="3"/>
  <c r="L698" i="3"/>
  <c r="L662" i="3"/>
  <c r="L626" i="3"/>
  <c r="L590" i="3"/>
  <c r="L554" i="3"/>
  <c r="L530" i="3"/>
  <c r="L482" i="3"/>
  <c r="L446" i="3"/>
  <c r="L410" i="3"/>
  <c r="L374" i="3"/>
  <c r="L338" i="3"/>
  <c r="L290" i="3"/>
  <c r="L242" i="3"/>
  <c r="L218" i="3"/>
  <c r="L170" i="3"/>
  <c r="L134" i="3"/>
  <c r="L110" i="3"/>
  <c r="L62" i="3"/>
  <c r="L26" i="3"/>
  <c r="L997" i="3"/>
  <c r="L961" i="3"/>
  <c r="L925" i="3"/>
  <c r="L877" i="3"/>
  <c r="L841" i="3"/>
  <c r="L817" i="3"/>
  <c r="L781" i="3"/>
  <c r="L745" i="3"/>
  <c r="L709" i="3"/>
  <c r="L673" i="3"/>
  <c r="L649" i="3"/>
  <c r="L613" i="3"/>
  <c r="L565" i="3"/>
  <c r="L517" i="3"/>
  <c r="L469" i="3"/>
  <c r="L445" i="3"/>
  <c r="L397" i="3"/>
  <c r="L349" i="3"/>
  <c r="L313" i="3"/>
  <c r="L277" i="3"/>
  <c r="L241" i="3"/>
  <c r="L217" i="3"/>
  <c r="L205" i="3"/>
  <c r="L181" i="3"/>
  <c r="L157" i="3"/>
  <c r="L145" i="3"/>
  <c r="L133" i="3"/>
  <c r="L121" i="3"/>
  <c r="L109" i="3"/>
  <c r="L97" i="3"/>
  <c r="L85" i="3"/>
  <c r="L73" i="3"/>
  <c r="L61" i="3"/>
  <c r="L49" i="3"/>
  <c r="L37" i="3"/>
  <c r="L25" i="3"/>
  <c r="L974" i="3"/>
  <c r="L938" i="3"/>
  <c r="L926" i="3"/>
  <c r="L890" i="3"/>
  <c r="L866" i="3"/>
  <c r="L842" i="3"/>
  <c r="L806" i="3"/>
  <c r="L770" i="3"/>
  <c r="L734" i="3"/>
  <c r="L710" i="3"/>
  <c r="L686" i="3"/>
  <c r="L650" i="3"/>
  <c r="L614" i="3"/>
  <c r="L578" i="3"/>
  <c r="L542" i="3"/>
  <c r="L518" i="3"/>
  <c r="L494" i="3"/>
  <c r="L458" i="3"/>
  <c r="L434" i="3"/>
  <c r="L398" i="3"/>
  <c r="L362" i="3"/>
  <c r="L326" i="3"/>
  <c r="L302" i="3"/>
  <c r="L266" i="3"/>
  <c r="L230" i="3"/>
  <c r="L194" i="3"/>
  <c r="L182" i="3"/>
  <c r="L146" i="3"/>
  <c r="L98" i="3"/>
  <c r="L74" i="3"/>
  <c r="L50" i="3"/>
  <c r="L985" i="3"/>
  <c r="L949" i="3"/>
  <c r="L913" i="3"/>
  <c r="L889" i="3"/>
  <c r="L865" i="3"/>
  <c r="L829" i="3"/>
  <c r="L793" i="3"/>
  <c r="L757" i="3"/>
  <c r="L721" i="3"/>
  <c r="L697" i="3"/>
  <c r="L661" i="3"/>
  <c r="L625" i="3"/>
  <c r="L601" i="3"/>
  <c r="L577" i="3"/>
  <c r="L541" i="3"/>
  <c r="L505" i="3"/>
  <c r="L493" i="3"/>
  <c r="L457" i="3"/>
  <c r="L421" i="3"/>
  <c r="L385" i="3"/>
  <c r="L373" i="3"/>
  <c r="L337" i="3"/>
  <c r="L301" i="3"/>
  <c r="L265" i="3"/>
  <c r="L229" i="3"/>
  <c r="L169" i="3"/>
  <c r="L996" i="3"/>
  <c r="L984" i="3"/>
  <c r="L972" i="3"/>
  <c r="L960" i="3"/>
  <c r="L948" i="3"/>
  <c r="L936" i="3"/>
  <c r="L924" i="3"/>
  <c r="L912" i="3"/>
  <c r="L900" i="3"/>
  <c r="L888" i="3"/>
  <c r="L876" i="3"/>
  <c r="L864" i="3"/>
  <c r="L852" i="3"/>
  <c r="L840" i="3"/>
  <c r="L828" i="3"/>
  <c r="L816" i="3"/>
  <c r="L804" i="3"/>
  <c r="L792" i="3"/>
  <c r="L780" i="3"/>
  <c r="L768" i="3"/>
  <c r="L756" i="3"/>
  <c r="L744" i="3"/>
  <c r="L732" i="3"/>
  <c r="L720" i="3"/>
  <c r="L708" i="3"/>
  <c r="L696" i="3"/>
  <c r="L684" i="3"/>
  <c r="L672" i="3"/>
  <c r="L660" i="3"/>
  <c r="L648" i="3"/>
  <c r="L636" i="3"/>
  <c r="L624" i="3"/>
  <c r="L612" i="3"/>
  <c r="L600" i="3"/>
  <c r="L588" i="3"/>
  <c r="L576" i="3"/>
  <c r="L564" i="3"/>
  <c r="L552" i="3"/>
  <c r="L540" i="3"/>
  <c r="L528" i="3"/>
  <c r="L516" i="3"/>
  <c r="L504" i="3"/>
  <c r="L492" i="3"/>
  <c r="L480" i="3"/>
  <c r="L468" i="3"/>
  <c r="L456" i="3"/>
  <c r="L444" i="3"/>
  <c r="L432" i="3"/>
  <c r="L420" i="3"/>
  <c r="L408" i="3"/>
  <c r="L396" i="3"/>
  <c r="L384" i="3"/>
  <c r="L372" i="3"/>
  <c r="L360" i="3"/>
  <c r="L348" i="3"/>
  <c r="L336" i="3"/>
  <c r="L324" i="3"/>
  <c r="L312" i="3"/>
  <c r="L300" i="3"/>
  <c r="L288" i="3"/>
  <c r="L276" i="3"/>
  <c r="L264" i="3"/>
  <c r="L252" i="3"/>
  <c r="L240" i="3"/>
  <c r="L228" i="3"/>
  <c r="L216" i="3"/>
  <c r="L204" i="3"/>
  <c r="L192" i="3"/>
  <c r="L180" i="3"/>
  <c r="L168" i="3"/>
  <c r="L156" i="3"/>
  <c r="L144" i="3"/>
  <c r="L132" i="3"/>
  <c r="L120" i="3"/>
  <c r="L108" i="3"/>
  <c r="L96" i="3"/>
  <c r="L84" i="3"/>
  <c r="L72" i="3"/>
  <c r="L60" i="3"/>
  <c r="L24" i="3"/>
  <c r="L998" i="3"/>
  <c r="L950" i="3"/>
  <c r="L914" i="3"/>
  <c r="L878" i="3"/>
  <c r="L830" i="3"/>
  <c r="L794" i="3"/>
  <c r="L758" i="3"/>
  <c r="L722" i="3"/>
  <c r="L674" i="3"/>
  <c r="L638" i="3"/>
  <c r="L602" i="3"/>
  <c r="L566" i="3"/>
  <c r="L506" i="3"/>
  <c r="L470" i="3"/>
  <c r="L422" i="3"/>
  <c r="L386" i="3"/>
  <c r="L350" i="3"/>
  <c r="L314" i="3"/>
  <c r="L278" i="3"/>
  <c r="L254" i="3"/>
  <c r="L206" i="3"/>
  <c r="L158" i="3"/>
  <c r="L122" i="3"/>
  <c r="L86" i="3"/>
  <c r="L38" i="3"/>
  <c r="L973" i="3"/>
  <c r="L937" i="3"/>
  <c r="L901" i="3"/>
  <c r="L853" i="3"/>
  <c r="L805" i="3"/>
  <c r="L769" i="3"/>
  <c r="L733" i="3"/>
  <c r="L685" i="3"/>
  <c r="L637" i="3"/>
  <c r="L589" i="3"/>
  <c r="L553" i="3"/>
  <c r="L529" i="3"/>
  <c r="L481" i="3"/>
  <c r="L433" i="3"/>
  <c r="L409" i="3"/>
  <c r="L361" i="3"/>
  <c r="L325" i="3"/>
  <c r="L289" i="3"/>
  <c r="L253" i="3"/>
  <c r="L193" i="3"/>
  <c r="L827" i="3"/>
  <c r="L815" i="3"/>
  <c r="L803" i="3"/>
  <c r="L791" i="3"/>
  <c r="L779" i="3"/>
  <c r="L767" i="3"/>
  <c r="L755" i="3"/>
  <c r="L743" i="3"/>
  <c r="L731" i="3"/>
  <c r="L719" i="3"/>
  <c r="L707" i="3"/>
  <c r="L695" i="3"/>
  <c r="L683" i="3"/>
  <c r="L671" i="3"/>
  <c r="L659" i="3"/>
  <c r="L647" i="3"/>
  <c r="L635" i="3"/>
  <c r="L623" i="3"/>
  <c r="L611" i="3"/>
  <c r="L599" i="3"/>
  <c r="L587" i="3"/>
  <c r="L575" i="3"/>
  <c r="L563" i="3"/>
  <c r="L551" i="3"/>
  <c r="L539" i="3"/>
  <c r="L527" i="3"/>
  <c r="L515" i="3"/>
  <c r="L503" i="3"/>
  <c r="L491" i="3"/>
  <c r="L479" i="3"/>
  <c r="L467" i="3"/>
  <c r="L455" i="3"/>
  <c r="L443" i="3"/>
  <c r="L431" i="3"/>
  <c r="L419" i="3"/>
  <c r="L407" i="3"/>
  <c r="L395" i="3"/>
  <c r="L383" i="3"/>
  <c r="L371" i="3"/>
  <c r="L359" i="3"/>
  <c r="L347" i="3"/>
  <c r="L335" i="3"/>
  <c r="L323" i="3"/>
  <c r="L311" i="3"/>
  <c r="L299" i="3"/>
  <c r="L287" i="3"/>
  <c r="L275" i="3"/>
  <c r="L263" i="3"/>
  <c r="L251" i="3"/>
  <c r="L239" i="3"/>
  <c r="L227" i="3"/>
  <c r="L215" i="3"/>
  <c r="L203" i="3"/>
  <c r="L191" i="3"/>
  <c r="L179" i="3"/>
  <c r="L167" i="3"/>
  <c r="L155" i="3"/>
  <c r="L143" i="3"/>
  <c r="L131" i="3"/>
  <c r="L119" i="3"/>
  <c r="L107" i="3"/>
  <c r="L95" i="3"/>
  <c r="L83" i="3"/>
  <c r="L71" i="3"/>
  <c r="L59" i="3"/>
  <c r="L47" i="3"/>
  <c r="L35" i="3"/>
  <c r="L23" i="3"/>
  <c r="L48" i="3"/>
  <c r="L36" i="3"/>
  <c r="L12" i="3"/>
  <c r="L11" i="3"/>
  <c r="L54" i="3"/>
  <c r="L42" i="3"/>
  <c r="L30" i="3"/>
  <c r="L18" i="3"/>
  <c r="L6" i="3"/>
</calcChain>
</file>

<file path=xl/sharedStrings.xml><?xml version="1.0" encoding="utf-8"?>
<sst xmlns="http://schemas.openxmlformats.org/spreadsheetml/2006/main" count="7199" uniqueCount="121">
  <si>
    <t>Order_ID</t>
  </si>
  <si>
    <t>Order_Date</t>
  </si>
  <si>
    <t>Customer_Name</t>
  </si>
  <si>
    <t>City</t>
  </si>
  <si>
    <t>Product</t>
  </si>
  <si>
    <t>Category</t>
  </si>
  <si>
    <t>Quantity</t>
  </si>
  <si>
    <t>Unit_Price</t>
  </si>
  <si>
    <t>Discount</t>
  </si>
  <si>
    <t>Total_Sales</t>
  </si>
  <si>
    <t>Profit</t>
  </si>
  <si>
    <t>Payment_Method</t>
  </si>
  <si>
    <t>Order_Type</t>
  </si>
  <si>
    <t>Salesperson</t>
  </si>
  <si>
    <t>Customer_Rating</t>
  </si>
  <si>
    <t>Cost_Price</t>
  </si>
  <si>
    <t>Espresso</t>
  </si>
  <si>
    <t>Coffee</t>
  </si>
  <si>
    <t>Cappuccino</t>
  </si>
  <si>
    <t>Latte</t>
  </si>
  <si>
    <t>Americano</t>
  </si>
  <si>
    <t>Mocha</t>
  </si>
  <si>
    <t>Cold Coffee</t>
  </si>
  <si>
    <t>Cold Beverage</t>
  </si>
  <si>
    <t>Iced Latte</t>
  </si>
  <si>
    <t>Hot Chocolate</t>
  </si>
  <si>
    <t>Beverage</t>
  </si>
  <si>
    <t>Green Tea</t>
  </si>
  <si>
    <t>Tea</t>
  </si>
  <si>
    <t>Black Tea</t>
  </si>
  <si>
    <t>Blueberry Muffin</t>
  </si>
  <si>
    <t>Bakery</t>
  </si>
  <si>
    <t>Chocolate Brownie</t>
  </si>
  <si>
    <t>Croissant</t>
  </si>
  <si>
    <t>Veg Sandwich</t>
  </si>
  <si>
    <t>Snacks</t>
  </si>
  <si>
    <t>Chicken Sandwich</t>
  </si>
  <si>
    <t>French Fries</t>
  </si>
  <si>
    <t>Garlic Bread</t>
  </si>
  <si>
    <t>Cheesecake</t>
  </si>
  <si>
    <t>Dessert</t>
  </si>
  <si>
    <t>Donut</t>
  </si>
  <si>
    <t>Cookie</t>
  </si>
  <si>
    <t>Cities</t>
  </si>
  <si>
    <t>Payment Methods</t>
  </si>
  <si>
    <t>Order Type</t>
  </si>
  <si>
    <t>Customer Rating</t>
  </si>
  <si>
    <t>Salespersons</t>
  </si>
  <si>
    <t>Mumbai</t>
  </si>
  <si>
    <t>Cash</t>
  </si>
  <si>
    <t>Dine-In</t>
  </si>
  <si>
    <t>Aarav</t>
  </si>
  <si>
    <t>Delhi</t>
  </si>
  <si>
    <t>UPI</t>
  </si>
  <si>
    <t>Takeaway</t>
  </si>
  <si>
    <t>Priya</t>
  </si>
  <si>
    <t>Bengaluru</t>
  </si>
  <si>
    <t>Credit Card</t>
  </si>
  <si>
    <t>Delivery</t>
  </si>
  <si>
    <t>Rahul</t>
  </si>
  <si>
    <t>Hyderabad</t>
  </si>
  <si>
    <t>Debit Card</t>
  </si>
  <si>
    <t>Neha</t>
  </si>
  <si>
    <t>Pune</t>
  </si>
  <si>
    <t>Wallet</t>
  </si>
  <si>
    <t>Rohan</t>
  </si>
  <si>
    <t>Chennai</t>
  </si>
  <si>
    <t>Ananya</t>
  </si>
  <si>
    <t>Kolkata</t>
  </si>
  <si>
    <t>Vikram</t>
  </si>
  <si>
    <t>Ahmedabad</t>
  </si>
  <si>
    <t>Sneha</t>
  </si>
  <si>
    <t>Jaipur</t>
  </si>
  <si>
    <t>Karan</t>
  </si>
  <si>
    <t>Goa</t>
  </si>
  <si>
    <t>Pooja</t>
  </si>
  <si>
    <t>Aarav Sharma</t>
  </si>
  <si>
    <t>Priya Patel</t>
  </si>
  <si>
    <t>Rahul Verma</t>
  </si>
  <si>
    <t>Neha Gupta</t>
  </si>
  <si>
    <t>Rohan Mehta</t>
  </si>
  <si>
    <t>Ananya Singh</t>
  </si>
  <si>
    <t>Vikram Rao</t>
  </si>
  <si>
    <t>Sneha Nair</t>
  </si>
  <si>
    <t>Karan Joshi</t>
  </si>
  <si>
    <t>Pooja Kulkarni</t>
  </si>
  <si>
    <t>Aditya Kumar</t>
  </si>
  <si>
    <t>Nisha Sharma</t>
  </si>
  <si>
    <t>Arjun Reddy</t>
  </si>
  <si>
    <t>Kavya Iyer</t>
  </si>
  <si>
    <t>Aman Mishra</t>
  </si>
  <si>
    <t>Meera Desai</t>
  </si>
  <si>
    <t>Siddharth Jain</t>
  </si>
  <si>
    <t>Divya Shetty</t>
  </si>
  <si>
    <t>Yash Patil</t>
  </si>
  <si>
    <t>Ishita Roy</t>
  </si>
  <si>
    <t>Harsh Vyas</t>
  </si>
  <si>
    <t>Aditi Kapoor</t>
  </si>
  <si>
    <t>Manish Yadav</t>
  </si>
  <si>
    <t>Simran Kaur</t>
  </si>
  <si>
    <t>Akash Naik</t>
  </si>
  <si>
    <t>Ritika Das</t>
  </si>
  <si>
    <t>Mohit Agarwal</t>
  </si>
  <si>
    <t>Tanvi Bhat</t>
  </si>
  <si>
    <t>Vivek Nair</t>
  </si>
  <si>
    <t>Shruti Rao</t>
  </si>
  <si>
    <t>Row Labels</t>
  </si>
  <si>
    <t>Grand Total</t>
  </si>
  <si>
    <t>Sum of Total_Sales</t>
  </si>
  <si>
    <t>Total Revenue</t>
  </si>
  <si>
    <t>Count of Order_ID</t>
  </si>
  <si>
    <t>Total Orders</t>
  </si>
  <si>
    <t>Total Customers</t>
  </si>
  <si>
    <t>Total Profit</t>
  </si>
  <si>
    <t>Average Order Value</t>
  </si>
  <si>
    <t>Jan</t>
  </si>
  <si>
    <t>Feb</t>
  </si>
  <si>
    <t>Mar</t>
  </si>
  <si>
    <t>Jun</t>
  </si>
  <si>
    <t>Count of Total_Sales</t>
  </si>
  <si>
    <t>Coffee Shop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</si>
</sst>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6" formatCode="&quot;₹&quot;\ #,##0.00"/>
    <numFmt numFmtId="168" formatCode="&quot;₹&quot;\ #,##0.0"/>
    <numFmt numFmtId="169" formatCode="&quot;₹&quot;\ #,##0"/>
  </numFmts>
  <fonts count="3" x14ac:knownFonts="1">
    <font>
      <sz val="11"/>
      <color theme="1"/>
      <name val="Rockwell"/>
      <family val="2"/>
      <scheme val="minor"/>
    </font>
    <font>
      <b/>
      <sz val="11"/>
      <color theme="1"/>
      <name val="Rockwell"/>
      <family val="2"/>
      <scheme val="minor"/>
    </font>
    <font>
      <b/>
      <sz val="24"/>
      <color theme="0"/>
      <name val="Aptos"/>
      <family val="2"/>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14"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xf numFmtId="168" fontId="0" fillId="0" borderId="0" xfId="0" applyNumberFormat="1"/>
    <xf numFmtId="169" fontId="0" fillId="0" borderId="0" xfId="0" applyNumberFormat="1"/>
    <xf numFmtId="0" fontId="2" fillId="2" borderId="0" xfId="0" applyFont="1" applyFill="1" applyAlignment="1">
      <alignment horizontal="center" vertical="center"/>
    </xf>
    <xf numFmtId="0" fontId="2" fillId="0" borderId="0" xfId="0" applyFont="1" applyFill="1" applyAlignment="1">
      <alignment vertical="center"/>
    </xf>
  </cellXfs>
  <cellStyles count="1">
    <cellStyle name="Normal" xfId="0" builtinId="0"/>
  </cellStyles>
  <dxfs count="161">
    <dxf>
      <numFmt numFmtId="169" formatCode="&quot;₹&quot;\ #,##0"/>
    </dxf>
    <dxf>
      <numFmt numFmtId="169" formatCode="&quot;₹&quot;\ #,##0"/>
    </dxf>
    <dxf>
      <numFmt numFmtId="168" formatCode="&quot;₹&quot;\ #,##0.0"/>
    </dxf>
    <dxf>
      <numFmt numFmtId="169" formatCode="&quot;₹&quot;\ #,##0"/>
    </dxf>
    <dxf>
      <numFmt numFmtId="169" formatCode="&quot;₹&quot;\ #,##0"/>
    </dxf>
    <dxf>
      <numFmt numFmtId="168" formatCode="&quot;₹&quot;\ #,##0.0"/>
    </dxf>
    <dxf>
      <numFmt numFmtId="169" formatCode="&quot;₹&quot;\ #,##0"/>
    </dxf>
    <dxf>
      <numFmt numFmtId="169" formatCode="&quot;₹&quot;\ #,##0"/>
    </dxf>
    <dxf>
      <font>
        <b/>
      </font>
    </dxf>
    <dxf>
      <numFmt numFmtId="169" formatCode="&quot;₹&quot;\ #,##0"/>
    </dxf>
    <dxf>
      <numFmt numFmtId="169" formatCode="&quot;₹&quot;\ #,##0"/>
    </dxf>
    <dxf>
      <numFmt numFmtId="169" formatCode="&quot;₹&quot;\ #,##0"/>
    </dxf>
    <dxf>
      <numFmt numFmtId="169" formatCode="&quot;₹&quot;\ #,##0"/>
    </dxf>
    <dxf>
      <numFmt numFmtId="168" formatCode="&quot;₹&quot;\ #,##0.0"/>
    </dxf>
    <dxf>
      <numFmt numFmtId="169" formatCode="&quot;₹&quot;\ #,##0"/>
    </dxf>
    <dxf>
      <numFmt numFmtId="169" formatCode="&quot;₹&quot;\ #,##0"/>
    </dxf>
    <dxf>
      <numFmt numFmtId="168" formatCode="&quot;₹&quot;\ #,##0.0"/>
    </dxf>
    <dxf>
      <numFmt numFmtId="169" formatCode="&quot;₹&quot;\ #,##0"/>
    </dxf>
    <dxf>
      <numFmt numFmtId="169" formatCode="&quot;₹&quot;\ #,##0"/>
    </dxf>
    <dxf>
      <font>
        <b/>
      </font>
    </dxf>
    <dxf>
      <numFmt numFmtId="169" formatCode="&quot;₹&quot;\ #,##0"/>
    </dxf>
    <dxf>
      <numFmt numFmtId="169" formatCode="&quot;₹&quot;\ #,##0"/>
    </dxf>
    <dxf>
      <numFmt numFmtId="169" formatCode="&quot;₹&quot;\ #,##0"/>
    </dxf>
    <dxf>
      <numFmt numFmtId="169" formatCode="&quot;₹&quot;\ #,##0"/>
    </dxf>
    <dxf>
      <numFmt numFmtId="168" formatCode="&quot;₹&quot;\ #,##0.0"/>
    </dxf>
    <dxf>
      <numFmt numFmtId="169" formatCode="&quot;₹&quot;\ #,##0"/>
    </dxf>
    <dxf>
      <numFmt numFmtId="169" formatCode="&quot;₹&quot;\ #,##0"/>
    </dxf>
    <dxf>
      <numFmt numFmtId="168" formatCode="&quot;₹&quot;\ #,##0.0"/>
    </dxf>
    <dxf>
      <numFmt numFmtId="169" formatCode="&quot;₹&quot;\ #,##0"/>
    </dxf>
    <dxf>
      <numFmt numFmtId="169" formatCode="&quot;₹&quot;\ #,##0"/>
    </dxf>
    <dxf>
      <font>
        <b/>
      </font>
    </dxf>
    <dxf>
      <numFmt numFmtId="169" formatCode="&quot;₹&quot;\ #,##0"/>
    </dxf>
    <dxf>
      <numFmt numFmtId="169" formatCode="&quot;₹&quot;\ #,##0"/>
    </dxf>
    <dxf>
      <numFmt numFmtId="169" formatCode="&quot;₹&quot;\ #,##0"/>
    </dxf>
    <dxf>
      <numFmt numFmtId="169" formatCode="&quot;₹&quot;\ #,##0"/>
    </dxf>
    <dxf>
      <numFmt numFmtId="168" formatCode="&quot;₹&quot;\ #,##0.0"/>
    </dxf>
    <dxf>
      <numFmt numFmtId="169" formatCode="&quot;₹&quot;\ #,##0"/>
    </dxf>
    <dxf>
      <numFmt numFmtId="169" formatCode="&quot;₹&quot;\ #,##0"/>
    </dxf>
    <dxf>
      <numFmt numFmtId="168" formatCode="&quot;₹&quot;\ #,##0.0"/>
    </dxf>
    <dxf>
      <numFmt numFmtId="169" formatCode="&quot;₹&quot;\ #,##0"/>
    </dxf>
    <dxf>
      <numFmt numFmtId="169" formatCode="&quot;₹&quot;\ #,##0"/>
    </dxf>
    <dxf>
      <font>
        <b/>
      </font>
    </dxf>
    <dxf>
      <numFmt numFmtId="169" formatCode="&quot;₹&quot;\ #,##0"/>
    </dxf>
    <dxf>
      <numFmt numFmtId="169" formatCode="&quot;₹&quot;\ #,##0"/>
    </dxf>
    <dxf>
      <numFmt numFmtId="169" formatCode="&quot;₹&quot;\ #,##0"/>
    </dxf>
    <dxf>
      <numFmt numFmtId="169" formatCode="&quot;₹&quot;\ #,##0"/>
    </dxf>
    <dxf>
      <numFmt numFmtId="168" formatCode="&quot;₹&quot;\ #,##0.0"/>
    </dxf>
    <dxf>
      <numFmt numFmtId="169" formatCode="&quot;₹&quot;\ #,##0"/>
    </dxf>
    <dxf>
      <numFmt numFmtId="169" formatCode="&quot;₹&quot;\ #,##0"/>
    </dxf>
    <dxf>
      <numFmt numFmtId="168" formatCode="&quot;₹&quot;\ #,##0.0"/>
    </dxf>
    <dxf>
      <numFmt numFmtId="169" formatCode="&quot;₹&quot;\ #,##0"/>
    </dxf>
    <dxf>
      <numFmt numFmtId="169" formatCode="&quot;₹&quot;\ #,##0"/>
    </dxf>
    <dxf>
      <font>
        <b/>
      </font>
    </dxf>
    <dxf>
      <numFmt numFmtId="169" formatCode="&quot;₹&quot;\ #,##0"/>
    </dxf>
    <dxf>
      <numFmt numFmtId="169" formatCode="&quot;₹&quot;\ #,##0"/>
    </dxf>
    <dxf>
      <numFmt numFmtId="169" formatCode="&quot;₹&quot;\ #,##0"/>
    </dxf>
    <dxf>
      <numFmt numFmtId="169" formatCode="&quot;₹&quot;\ #,##0"/>
    </dxf>
    <dxf>
      <numFmt numFmtId="168" formatCode="&quot;₹&quot;\ #,##0.0"/>
    </dxf>
    <dxf>
      <numFmt numFmtId="169" formatCode="&quot;₹&quot;\ #,##0"/>
    </dxf>
    <dxf>
      <numFmt numFmtId="169" formatCode="&quot;₹&quot;\ #,##0"/>
    </dxf>
    <dxf>
      <numFmt numFmtId="168" formatCode="&quot;₹&quot;\ #,##0.0"/>
    </dxf>
    <dxf>
      <numFmt numFmtId="169" formatCode="&quot;₹&quot;\ #,##0"/>
    </dxf>
    <dxf>
      <numFmt numFmtId="169" formatCode="&quot;₹&quot;\ #,##0"/>
    </dxf>
    <dxf>
      <font>
        <b/>
      </font>
    </dxf>
    <dxf>
      <numFmt numFmtId="169" formatCode="&quot;₹&quot;\ #,##0"/>
    </dxf>
    <dxf>
      <numFmt numFmtId="169" formatCode="&quot;₹&quot;\ #,##0"/>
    </dxf>
    <dxf>
      <numFmt numFmtId="169" formatCode="&quot;₹&quot;\ #,##0"/>
    </dxf>
    <dxf>
      <numFmt numFmtId="169" formatCode="&quot;₹&quot;\ #,##0"/>
    </dxf>
    <dxf>
      <numFmt numFmtId="168" formatCode="&quot;₹&quot;\ #,##0.0"/>
    </dxf>
    <dxf>
      <numFmt numFmtId="169" formatCode="&quot;₹&quot;\ #,##0"/>
    </dxf>
    <dxf>
      <numFmt numFmtId="169" formatCode="&quot;₹&quot;\ #,##0"/>
    </dxf>
    <dxf>
      <numFmt numFmtId="168" formatCode="&quot;₹&quot;\ #,##0.0"/>
    </dxf>
    <dxf>
      <numFmt numFmtId="169" formatCode="&quot;₹&quot;\ #,##0"/>
    </dxf>
    <dxf>
      <numFmt numFmtId="169" formatCode="&quot;₹&quot;\ #,##0"/>
    </dxf>
    <dxf>
      <font>
        <b/>
      </font>
    </dxf>
    <dxf>
      <numFmt numFmtId="169" formatCode="&quot;₹&quot;\ #,##0"/>
    </dxf>
    <dxf>
      <numFmt numFmtId="169" formatCode="&quot;₹&quot;\ #,##0"/>
    </dxf>
    <dxf>
      <numFmt numFmtId="169" formatCode="&quot;₹&quot;\ #,##0"/>
    </dxf>
    <dxf>
      <numFmt numFmtId="169" formatCode="&quot;₹&quot;\ #,##0"/>
    </dxf>
    <dxf>
      <numFmt numFmtId="168" formatCode="&quot;₹&quot;\ #,##0.0"/>
    </dxf>
    <dxf>
      <numFmt numFmtId="169" formatCode="&quot;₹&quot;\ #,##0"/>
    </dxf>
    <dxf>
      <numFmt numFmtId="169" formatCode="&quot;₹&quot;\ #,##0"/>
    </dxf>
    <dxf>
      <numFmt numFmtId="168" formatCode="&quot;₹&quot;\ #,##0.0"/>
    </dxf>
    <dxf>
      <numFmt numFmtId="169" formatCode="&quot;₹&quot;\ #,##0"/>
    </dxf>
    <dxf>
      <numFmt numFmtId="169" formatCode="&quot;₹&quot;\ #,##0"/>
    </dxf>
    <dxf>
      <font>
        <b/>
      </font>
    </dxf>
    <dxf>
      <numFmt numFmtId="169" formatCode="&quot;₹&quot;\ #,##0"/>
    </dxf>
    <dxf>
      <numFmt numFmtId="169" formatCode="&quot;₹&quot;\ #,##0"/>
    </dxf>
    <dxf>
      <numFmt numFmtId="169" formatCode="&quot;₹&quot;\ #,##0"/>
    </dxf>
    <dxf>
      <numFmt numFmtId="169" formatCode="&quot;₹&quot;\ #,##0"/>
    </dxf>
    <dxf>
      <numFmt numFmtId="168" formatCode="&quot;₹&quot;\ #,##0.0"/>
    </dxf>
    <dxf>
      <numFmt numFmtId="169" formatCode="&quot;₹&quot;\ #,##0"/>
    </dxf>
    <dxf>
      <numFmt numFmtId="169" formatCode="&quot;₹&quot;\ #,##0"/>
    </dxf>
    <dxf>
      <numFmt numFmtId="168" formatCode="&quot;₹&quot;\ #,##0.0"/>
    </dxf>
    <dxf>
      <numFmt numFmtId="169" formatCode="&quot;₹&quot;\ #,##0"/>
    </dxf>
    <dxf>
      <numFmt numFmtId="169" formatCode="&quot;₹&quot;\ #,##0"/>
    </dxf>
    <dxf>
      <font>
        <b/>
      </font>
    </dxf>
    <dxf>
      <numFmt numFmtId="169" formatCode="&quot;₹&quot;\ #,##0"/>
    </dxf>
    <dxf>
      <numFmt numFmtId="169" formatCode="&quot;₹&quot;\ #,##0"/>
    </dxf>
    <dxf>
      <numFmt numFmtId="169" formatCode="&quot;₹&quot;\ #,##0"/>
    </dxf>
    <dxf>
      <numFmt numFmtId="169" formatCode="&quot;₹&quot;\ #,##0"/>
    </dxf>
    <dxf>
      <numFmt numFmtId="168" formatCode="&quot;₹&quot;\ #,##0.0"/>
    </dxf>
    <dxf>
      <numFmt numFmtId="169" formatCode="&quot;₹&quot;\ #,##0"/>
    </dxf>
    <dxf>
      <numFmt numFmtId="169" formatCode="&quot;₹&quot;\ #,##0"/>
    </dxf>
    <dxf>
      <numFmt numFmtId="168" formatCode="&quot;₹&quot;\ #,##0.0"/>
    </dxf>
    <dxf>
      <numFmt numFmtId="169" formatCode="&quot;₹&quot;\ #,##0"/>
    </dxf>
    <dxf>
      <numFmt numFmtId="169" formatCode="&quot;₹&quot;\ #,##0"/>
    </dxf>
    <dxf>
      <font>
        <b/>
      </font>
    </dxf>
    <dxf>
      <numFmt numFmtId="169" formatCode="&quot;₹&quot;\ #,##0"/>
    </dxf>
    <dxf>
      <numFmt numFmtId="169" formatCode="&quot;₹&quot;\ #,##0"/>
    </dxf>
    <dxf>
      <numFmt numFmtId="169" formatCode="&quot;₹&quot;\ #,##0"/>
    </dxf>
    <dxf>
      <numFmt numFmtId="169" formatCode="&quot;₹&quot;\ #,##0"/>
    </dxf>
    <dxf>
      <numFmt numFmtId="168" formatCode="&quot;₹&quot;\ #,##0.0"/>
    </dxf>
    <dxf>
      <numFmt numFmtId="169" formatCode="&quot;₹&quot;\ #,##0"/>
    </dxf>
    <dxf>
      <numFmt numFmtId="168" formatCode="&quot;₹&quot;\ #,##0.0"/>
    </dxf>
    <dxf>
      <numFmt numFmtId="169" formatCode="&quot;₹&quot;\ #,##0"/>
    </dxf>
    <dxf>
      <numFmt numFmtId="169" formatCode="&quot;₹&quot;\ #,##0"/>
    </dxf>
    <dxf>
      <font>
        <b/>
      </font>
    </dxf>
    <dxf>
      <numFmt numFmtId="169" formatCode="&quot;₹&quot;\ #,##0"/>
    </dxf>
    <dxf>
      <numFmt numFmtId="169" formatCode="&quot;₹&quot;\ #,##0"/>
    </dxf>
    <dxf>
      <numFmt numFmtId="169" formatCode="&quot;₹&quot;\ #,##0"/>
    </dxf>
    <dxf>
      <numFmt numFmtId="169" formatCode="&quot;₹&quot;\ #,##0"/>
    </dxf>
    <dxf>
      <numFmt numFmtId="168" formatCode="&quot;₹&quot;\ #,##0.0"/>
    </dxf>
    <dxf>
      <numFmt numFmtId="169" formatCode="&quot;₹&quot;\ #,##0"/>
    </dxf>
    <dxf>
      <numFmt numFmtId="169" formatCode="&quot;₹&quot;\ #,##0"/>
    </dxf>
    <dxf>
      <numFmt numFmtId="169" formatCode="&quot;₹&quot;\ #,##0"/>
    </dxf>
    <dxf>
      <numFmt numFmtId="169" formatCode="&quot;₹&quot;\ #,##0"/>
    </dxf>
    <dxf>
      <numFmt numFmtId="168" formatCode="&quot;₹&quot;\ #,##0.0"/>
    </dxf>
    <dxf>
      <numFmt numFmtId="169" formatCode="&quot;₹&quot;\ #,##0"/>
    </dxf>
    <dxf>
      <numFmt numFmtId="169" formatCode="&quot;₹&quot;\ #,##0"/>
    </dxf>
    <dxf>
      <font>
        <b/>
      </font>
    </dxf>
    <dxf>
      <numFmt numFmtId="169" formatCode="&quot;₹&quot;\ #,##0"/>
    </dxf>
    <dxf>
      <numFmt numFmtId="169" formatCode="&quot;₹&quot;\ #,##0"/>
    </dxf>
    <dxf>
      <numFmt numFmtId="169" formatCode="&quot;₹&quot;\ #,##0"/>
    </dxf>
    <dxf>
      <numFmt numFmtId="169" formatCode="&quot;₹&quot;\ #,##0"/>
    </dxf>
    <dxf>
      <numFmt numFmtId="169" formatCode="&quot;₹&quot;\ #,##0"/>
    </dxf>
    <dxf>
      <numFmt numFmtId="19" formatCode="dd/mm/yyyy"/>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Rockwell"/>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Rockwell"/>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Rockwell"/>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Rockwell"/>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Rockwell"/>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Rockwell"/>
        <family val="2"/>
        <scheme val="minor"/>
      </font>
      <alignment horizontal="center" vertical="center" textRotation="0" wrapText="1" indent="0" justifyLastLine="0" shrinkToFit="0" readingOrder="0"/>
    </dxf>
  </dxfs>
  <tableStyles count="1" defaultTableStyle="TableStyleMedium2" defaultPivotStyle="PivotStyleLight16">
    <tableStyle name="Slicer Style 1" pivot="0" table="0" count="0" xr9:uid="{B7D6C09E-B2F6-426E-BDA4-099D95260DF9}"/>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cat>
            <c:strRef>
              <c:f>Pivot!$A$2:$A$10</c:f>
              <c:strCache>
                <c:ptCount val="8"/>
                <c:pt idx="0">
                  <c:v>Americano</c:v>
                </c:pt>
                <c:pt idx="1">
                  <c:v>Blueberry Muffin</c:v>
                </c:pt>
                <c:pt idx="2">
                  <c:v>Cappuccino</c:v>
                </c:pt>
                <c:pt idx="3">
                  <c:v>Chocolate Brownie</c:v>
                </c:pt>
                <c:pt idx="4">
                  <c:v>Croissant</c:v>
                </c:pt>
                <c:pt idx="5">
                  <c:v>Espresso</c:v>
                </c:pt>
                <c:pt idx="6">
                  <c:v>Latte</c:v>
                </c:pt>
                <c:pt idx="7">
                  <c:v>Mocha</c:v>
                </c:pt>
              </c:strCache>
            </c:strRef>
          </c:cat>
          <c:val>
            <c:numRef>
              <c:f>Pivot!$B$2:$B$10</c:f>
              <c:numCache>
                <c:formatCode>"₹"\ #,##0</c:formatCode>
                <c:ptCount val="8"/>
                <c:pt idx="0">
                  <c:v>7817</c:v>
                </c:pt>
                <c:pt idx="1">
                  <c:v>5302</c:v>
                </c:pt>
                <c:pt idx="2">
                  <c:v>5124</c:v>
                </c:pt>
                <c:pt idx="3">
                  <c:v>1164</c:v>
                </c:pt>
                <c:pt idx="4">
                  <c:v>2938</c:v>
                </c:pt>
                <c:pt idx="5">
                  <c:v>2375</c:v>
                </c:pt>
                <c:pt idx="6">
                  <c:v>7665</c:v>
                </c:pt>
                <c:pt idx="7">
                  <c:v>6763</c:v>
                </c:pt>
              </c:numCache>
            </c:numRef>
          </c:val>
          <c:extLst>
            <c:ext xmlns:c16="http://schemas.microsoft.com/office/drawing/2014/chart" uri="{C3380CC4-5D6E-409C-BE32-E72D297353CC}">
              <c16:uniqueId val="{00000000-4CC5-446D-A7B0-362DF18E46DA}"/>
            </c:ext>
          </c:extLst>
        </c:ser>
        <c:dLbls>
          <c:showLegendKey val="0"/>
          <c:showVal val="0"/>
          <c:showCatName val="0"/>
          <c:showSerName val="0"/>
          <c:showPercent val="0"/>
          <c:showBubbleSize val="0"/>
        </c:dLbls>
        <c:gapWidth val="219"/>
        <c:overlap val="-27"/>
        <c:axId val="2041006032"/>
        <c:axId val="2041011312"/>
      </c:barChart>
      <c:catAx>
        <c:axId val="204100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t"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011312"/>
        <c:crosses val="autoZero"/>
        <c:auto val="1"/>
        <c:lblAlgn val="ctr"/>
        <c:lblOffset val="100"/>
        <c:noMultiLvlLbl val="0"/>
      </c:catAx>
      <c:valAx>
        <c:axId val="20410113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00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4000">
          <a:schemeClr val="accent1">
            <a:lumMod val="5000"/>
            <a:lumOff val="95000"/>
          </a:schemeClr>
        </a:gs>
        <a:gs pos="59000">
          <a:schemeClr val="accent1">
            <a:lumMod val="30000"/>
            <a:lumOff val="70000"/>
          </a:schemeClr>
        </a:gs>
      </a:gsLst>
      <a:lin ang="5400000" scaled="1"/>
    </a:gradFill>
    <a:ln w="9525" cap="flat" cmpd="sng" algn="ctr">
      <a:solidFill>
        <a:schemeClr val="accent1">
          <a:alpha val="40000"/>
        </a:schemeClr>
      </a:solidFill>
      <a:round/>
    </a:ln>
    <a:effectLst/>
    <a:scene3d>
      <a:camera prst="orthographicFront"/>
      <a:lightRig rig="threePt" dir="t"/>
    </a:scene3d>
    <a:sp3d>
      <a:bevelT w="57150"/>
      <a:bevelB w="571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Pivot!$E$1</c:f>
              <c:strCache>
                <c:ptCount val="1"/>
                <c:pt idx="0">
                  <c:v>Total</c:v>
                </c:pt>
              </c:strCache>
            </c:strRef>
          </c:tx>
          <c:spPr>
            <a:solidFill>
              <a:schemeClr val="accent1"/>
            </a:solidFill>
            <a:ln>
              <a:noFill/>
            </a:ln>
            <a:effectLst/>
          </c:spPr>
          <c:invertIfNegative val="0"/>
          <c:cat>
            <c:strRef>
              <c:f>Pivot!$D$2:$D$4</c:f>
              <c:strCache>
                <c:ptCount val="2"/>
                <c:pt idx="0">
                  <c:v>Bakery</c:v>
                </c:pt>
                <c:pt idx="1">
                  <c:v>Coffee</c:v>
                </c:pt>
              </c:strCache>
            </c:strRef>
          </c:cat>
          <c:val>
            <c:numRef>
              <c:f>Pivot!$E$2:$E$4</c:f>
              <c:numCache>
                <c:formatCode>"₹"\ #,##0</c:formatCode>
                <c:ptCount val="2"/>
                <c:pt idx="0">
                  <c:v>11365</c:v>
                </c:pt>
                <c:pt idx="1">
                  <c:v>31904</c:v>
                </c:pt>
              </c:numCache>
            </c:numRef>
          </c:val>
          <c:extLst>
            <c:ext xmlns:c16="http://schemas.microsoft.com/office/drawing/2014/chart" uri="{C3380CC4-5D6E-409C-BE32-E72D297353CC}">
              <c16:uniqueId val="{00000000-2750-4AAB-8A53-96CFB3EFB41B}"/>
            </c:ext>
          </c:extLst>
        </c:ser>
        <c:dLbls>
          <c:showLegendKey val="0"/>
          <c:showVal val="0"/>
          <c:showCatName val="0"/>
          <c:showSerName val="0"/>
          <c:showPercent val="0"/>
          <c:showBubbleSize val="0"/>
        </c:dLbls>
        <c:gapWidth val="182"/>
        <c:axId val="1459909904"/>
        <c:axId val="1459904624"/>
      </c:barChart>
      <c:catAx>
        <c:axId val="1459909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904624"/>
        <c:crosses val="autoZero"/>
        <c:auto val="1"/>
        <c:lblAlgn val="ctr"/>
        <c:lblOffset val="100"/>
        <c:noMultiLvlLbl val="0"/>
      </c:catAx>
      <c:valAx>
        <c:axId val="145990462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72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990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4000">
          <a:schemeClr val="accent1">
            <a:lumMod val="5000"/>
            <a:lumOff val="95000"/>
          </a:schemeClr>
        </a:gs>
        <a:gs pos="59000">
          <a:schemeClr val="accent1">
            <a:lumMod val="30000"/>
            <a:lumOff val="70000"/>
          </a:schemeClr>
        </a:gs>
      </a:gsLst>
      <a:lin ang="5400000" scaled="1"/>
    </a:gradFill>
    <a:ln w="9525" cap="flat" cmpd="sng" algn="ctr">
      <a:solidFill>
        <a:schemeClr val="accent1">
          <a:alpha val="40000"/>
        </a:schemeClr>
      </a:solidFill>
      <a:round/>
    </a:ln>
    <a:effectLst/>
    <a:scene3d>
      <a:camera prst="orthographicFront"/>
      <a:lightRig rig="threePt" dir="t"/>
    </a:scene3d>
    <a:sp3d>
      <a:bevelT w="57150"/>
      <a:bevelB w="571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a:t>
            </a:r>
            <a:endParaRPr lang="en-US" sz="1400" b="0" i="0" u="none" strike="noStrike"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Pivot!$E$12</c:f>
              <c:strCache>
                <c:ptCount val="1"/>
                <c:pt idx="0">
                  <c:v>Total</c:v>
                </c:pt>
              </c:strCache>
            </c:strRef>
          </c:tx>
          <c:spPr>
            <a:ln w="28575" cap="rnd">
              <a:solidFill>
                <a:schemeClr val="accent1"/>
              </a:solidFill>
              <a:round/>
            </a:ln>
            <a:effectLst/>
          </c:spPr>
          <c:marker>
            <c:symbol val="none"/>
          </c:marker>
          <c:cat>
            <c:strRef>
              <c:f>Pivot!$D$13:$D$17</c:f>
              <c:strCache>
                <c:ptCount val="4"/>
                <c:pt idx="0">
                  <c:v>Jan</c:v>
                </c:pt>
                <c:pt idx="1">
                  <c:v>Feb</c:v>
                </c:pt>
                <c:pt idx="2">
                  <c:v>Mar</c:v>
                </c:pt>
                <c:pt idx="3">
                  <c:v>Jun</c:v>
                </c:pt>
              </c:strCache>
            </c:strRef>
          </c:cat>
          <c:val>
            <c:numRef>
              <c:f>Pivot!$E$13:$E$17</c:f>
              <c:numCache>
                <c:formatCode>"₹"\ #,##0</c:formatCode>
                <c:ptCount val="4"/>
                <c:pt idx="0">
                  <c:v>11036</c:v>
                </c:pt>
                <c:pt idx="1">
                  <c:v>8613</c:v>
                </c:pt>
                <c:pt idx="2">
                  <c:v>12753</c:v>
                </c:pt>
                <c:pt idx="3">
                  <c:v>6746</c:v>
                </c:pt>
              </c:numCache>
            </c:numRef>
          </c:val>
          <c:smooth val="0"/>
          <c:extLst>
            <c:ext xmlns:c16="http://schemas.microsoft.com/office/drawing/2014/chart" uri="{C3380CC4-5D6E-409C-BE32-E72D297353CC}">
              <c16:uniqueId val="{00000000-A786-4B27-BA37-46C6D41CBE8C}"/>
            </c:ext>
          </c:extLst>
        </c:ser>
        <c:dLbls>
          <c:showLegendKey val="0"/>
          <c:showVal val="0"/>
          <c:showCatName val="0"/>
          <c:showSerName val="0"/>
          <c:showPercent val="0"/>
          <c:showBubbleSize val="0"/>
        </c:dLbls>
        <c:smooth val="0"/>
        <c:axId val="524075760"/>
        <c:axId val="524069040"/>
      </c:lineChart>
      <c:catAx>
        <c:axId val="52407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069040"/>
        <c:crosses val="autoZero"/>
        <c:auto val="1"/>
        <c:lblAlgn val="ctr"/>
        <c:lblOffset val="100"/>
        <c:noMultiLvlLbl val="0"/>
      </c:catAx>
      <c:valAx>
        <c:axId val="5240690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07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4000">
          <a:schemeClr val="accent1">
            <a:lumMod val="5000"/>
            <a:lumOff val="95000"/>
          </a:schemeClr>
        </a:gs>
        <a:gs pos="59000">
          <a:schemeClr val="accent1">
            <a:lumMod val="30000"/>
            <a:lumOff val="70000"/>
          </a:schemeClr>
        </a:gs>
      </a:gsLst>
      <a:lin ang="5400000" scaled="1"/>
    </a:gradFill>
    <a:ln w="9525" cap="flat" cmpd="sng" algn="ctr">
      <a:solidFill>
        <a:schemeClr val="accent1">
          <a:alpha val="40000"/>
        </a:schemeClr>
      </a:solidFill>
      <a:round/>
    </a:ln>
    <a:effectLst/>
    <a:scene3d>
      <a:camera prst="orthographicFront"/>
      <a:lightRig rig="threePt" dir="t"/>
    </a:scene3d>
    <a:sp3d>
      <a:bevelT w="57150"/>
      <a:bevelB w="571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Pivot!$H$1</c:f>
              <c:strCache>
                <c:ptCount val="1"/>
                <c:pt idx="0">
                  <c:v>Total</c:v>
                </c:pt>
              </c:strCache>
            </c:strRef>
          </c:tx>
          <c:spPr>
            <a:solidFill>
              <a:schemeClr val="accent1"/>
            </a:solidFill>
            <a:ln>
              <a:noFill/>
            </a:ln>
            <a:effectLst/>
          </c:spPr>
          <c:invertIfNegative val="0"/>
          <c:cat>
            <c:strRef>
              <c:f>Pivot!$G$2:$G$11</c:f>
              <c:strCache>
                <c:ptCount val="9"/>
                <c:pt idx="0">
                  <c:v>Ahmedabad</c:v>
                </c:pt>
                <c:pt idx="1">
                  <c:v>Chennai</c:v>
                </c:pt>
                <c:pt idx="2">
                  <c:v>Delhi</c:v>
                </c:pt>
                <c:pt idx="3">
                  <c:v>Goa</c:v>
                </c:pt>
                <c:pt idx="4">
                  <c:v>Hyderabad</c:v>
                </c:pt>
                <c:pt idx="5">
                  <c:v>Jaipur</c:v>
                </c:pt>
                <c:pt idx="6">
                  <c:v>Kolkata</c:v>
                </c:pt>
                <c:pt idx="7">
                  <c:v>Mumbai</c:v>
                </c:pt>
                <c:pt idx="8">
                  <c:v>Pune</c:v>
                </c:pt>
              </c:strCache>
            </c:strRef>
          </c:cat>
          <c:val>
            <c:numRef>
              <c:f>Pivot!$H$2:$H$11</c:f>
              <c:numCache>
                <c:formatCode>"₹"\ #,##0</c:formatCode>
                <c:ptCount val="9"/>
                <c:pt idx="0">
                  <c:v>3545</c:v>
                </c:pt>
                <c:pt idx="1">
                  <c:v>6538</c:v>
                </c:pt>
                <c:pt idx="2">
                  <c:v>4534</c:v>
                </c:pt>
                <c:pt idx="3">
                  <c:v>3515</c:v>
                </c:pt>
                <c:pt idx="4">
                  <c:v>4517</c:v>
                </c:pt>
                <c:pt idx="5">
                  <c:v>3055</c:v>
                </c:pt>
                <c:pt idx="6">
                  <c:v>3045</c:v>
                </c:pt>
                <c:pt idx="7">
                  <c:v>6486</c:v>
                </c:pt>
                <c:pt idx="8">
                  <c:v>3913</c:v>
                </c:pt>
              </c:numCache>
            </c:numRef>
          </c:val>
          <c:extLst>
            <c:ext xmlns:c16="http://schemas.microsoft.com/office/drawing/2014/chart" uri="{C3380CC4-5D6E-409C-BE32-E72D297353CC}">
              <c16:uniqueId val="{00000000-4EB9-4910-B193-E615C728AB4A}"/>
            </c:ext>
          </c:extLst>
        </c:ser>
        <c:dLbls>
          <c:showLegendKey val="0"/>
          <c:showVal val="0"/>
          <c:showCatName val="0"/>
          <c:showSerName val="0"/>
          <c:showPercent val="0"/>
          <c:showBubbleSize val="0"/>
        </c:dLbls>
        <c:gapWidth val="182"/>
        <c:axId val="850149488"/>
        <c:axId val="850150928"/>
      </c:barChart>
      <c:catAx>
        <c:axId val="850149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150928"/>
        <c:crosses val="autoZero"/>
        <c:auto val="1"/>
        <c:lblAlgn val="ctr"/>
        <c:lblOffset val="100"/>
        <c:noMultiLvlLbl val="0"/>
      </c:catAx>
      <c:valAx>
        <c:axId val="85015092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84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14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4000">
          <a:schemeClr val="accent1">
            <a:lumMod val="5000"/>
            <a:lumOff val="95000"/>
          </a:schemeClr>
        </a:gs>
        <a:gs pos="59000">
          <a:schemeClr val="accent1">
            <a:lumMod val="30000"/>
            <a:lumOff val="70000"/>
          </a:schemeClr>
        </a:gs>
      </a:gsLst>
      <a:lin ang="5400000" scaled="1"/>
    </a:gradFill>
    <a:ln w="9525" cap="flat" cmpd="sng" algn="ctr">
      <a:solidFill>
        <a:schemeClr val="accent1">
          <a:alpha val="40000"/>
        </a:schemeClr>
      </a:solidFill>
      <a:round/>
    </a:ln>
    <a:effectLst/>
    <a:scene3d>
      <a:camera prst="orthographicFront"/>
      <a:lightRig rig="threePt" dir="t"/>
    </a:scene3d>
    <a:sp3d>
      <a:bevelT w="57150"/>
      <a:bevelB w="571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Payment Method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T w="50800"/>
            <a:bevelB w="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T w="50800"/>
            <a:bevelB w="0"/>
          </a:sp3d>
        </c:spPr>
      </c:pivotFmt>
      <c:pivotFmt>
        <c:idx val="9"/>
        <c:spPr>
          <a:solidFill>
            <a:schemeClr val="accent1"/>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T w="50800"/>
            <a:bevelB w="0"/>
          </a:sp3d>
        </c:spPr>
      </c:pivotFmt>
      <c:pivotFmt>
        <c:idx val="10"/>
        <c:spPr>
          <a:solidFill>
            <a:schemeClr val="accent1"/>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T w="50800"/>
            <a:bevelB w="0"/>
          </a:sp3d>
        </c:spPr>
      </c:pivotFmt>
      <c:pivotFmt>
        <c:idx val="11"/>
        <c:spPr>
          <a:solidFill>
            <a:schemeClr val="accent1"/>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T w="50800"/>
            <a:bevelB w="0"/>
          </a:sp3d>
        </c:spPr>
      </c:pivotFmt>
      <c:pivotFmt>
        <c:idx val="12"/>
        <c:spPr>
          <a:solidFill>
            <a:schemeClr val="accent1"/>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T w="50800"/>
            <a:bevelB w="0"/>
          </a:sp3d>
        </c:spPr>
      </c:pivotFmt>
    </c:pivotFmts>
    <c:plotArea>
      <c:layout/>
      <c:pieChart>
        <c:varyColors val="1"/>
        <c:ser>
          <c:idx val="0"/>
          <c:order val="0"/>
          <c:tx>
            <c:strRef>
              <c:f>Pivot!$H$14</c:f>
              <c:strCache>
                <c:ptCount val="1"/>
                <c:pt idx="0">
                  <c:v>Total</c:v>
                </c:pt>
              </c:strCache>
            </c:strRef>
          </c:tx>
          <c:spPr>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cene3d>
              <a:camera prst="orthographicFront"/>
              <a:lightRig rig="threePt" dir="t"/>
            </a:scene3d>
            <a:sp3d>
              <a:bevelT w="50800"/>
              <a:bevelB w="0"/>
            </a:sp3d>
          </c:spPr>
          <c:dPt>
            <c:idx val="0"/>
            <c:bubble3D val="0"/>
            <c:spPr>
              <a:solidFill>
                <a:schemeClr val="accent1"/>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T w="50800"/>
                <a:bevelB w="0"/>
              </a:sp3d>
            </c:spPr>
            <c:extLst>
              <c:ext xmlns:c16="http://schemas.microsoft.com/office/drawing/2014/chart" uri="{C3380CC4-5D6E-409C-BE32-E72D297353CC}">
                <c16:uniqueId val="{00000001-E3F9-4FF8-838A-563006582CE2}"/>
              </c:ext>
            </c:extLst>
          </c:dPt>
          <c:dPt>
            <c:idx val="1"/>
            <c:bubble3D val="0"/>
            <c:spPr>
              <a:solidFill>
                <a:schemeClr val="accent2"/>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T w="50800"/>
                <a:bevelB w="0"/>
              </a:sp3d>
            </c:spPr>
            <c:extLst>
              <c:ext xmlns:c16="http://schemas.microsoft.com/office/drawing/2014/chart" uri="{C3380CC4-5D6E-409C-BE32-E72D297353CC}">
                <c16:uniqueId val="{00000003-E3F9-4FF8-838A-563006582CE2}"/>
              </c:ext>
            </c:extLst>
          </c:dPt>
          <c:dPt>
            <c:idx val="2"/>
            <c:bubble3D val="0"/>
            <c:spPr>
              <a:solidFill>
                <a:schemeClr val="accent3"/>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T w="50800"/>
                <a:bevelB w="0"/>
              </a:sp3d>
            </c:spPr>
            <c:extLst>
              <c:ext xmlns:c16="http://schemas.microsoft.com/office/drawing/2014/chart" uri="{C3380CC4-5D6E-409C-BE32-E72D297353CC}">
                <c16:uniqueId val="{00000005-E3F9-4FF8-838A-563006582CE2}"/>
              </c:ext>
            </c:extLst>
          </c:dPt>
          <c:dPt>
            <c:idx val="3"/>
            <c:bubble3D val="0"/>
            <c:spPr>
              <a:solidFill>
                <a:schemeClr val="accent4"/>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T w="50800"/>
                <a:bevelB w="0"/>
              </a:sp3d>
            </c:spPr>
            <c:extLst>
              <c:ext xmlns:c16="http://schemas.microsoft.com/office/drawing/2014/chart" uri="{C3380CC4-5D6E-409C-BE32-E72D297353CC}">
                <c16:uniqueId val="{00000007-E3F9-4FF8-838A-563006582CE2}"/>
              </c:ext>
            </c:extLst>
          </c:dPt>
          <c:dPt>
            <c:idx val="4"/>
            <c:bubble3D val="0"/>
            <c:spPr>
              <a:solidFill>
                <a:schemeClr val="accent5"/>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T w="50800"/>
                <a:bevelB w="0"/>
              </a:sp3d>
            </c:spPr>
            <c:extLst>
              <c:ext xmlns:c16="http://schemas.microsoft.com/office/drawing/2014/chart" uri="{C3380CC4-5D6E-409C-BE32-E72D297353CC}">
                <c16:uniqueId val="{00000009-E3F9-4FF8-838A-563006582C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Pivot!$G$15:$G$19</c:f>
              <c:strCache>
                <c:ptCount val="4"/>
                <c:pt idx="0">
                  <c:v>Cash</c:v>
                </c:pt>
                <c:pt idx="1">
                  <c:v>Credit Card</c:v>
                </c:pt>
                <c:pt idx="2">
                  <c:v>UPI</c:v>
                </c:pt>
                <c:pt idx="3">
                  <c:v>Wallet</c:v>
                </c:pt>
              </c:strCache>
            </c:strRef>
          </c:cat>
          <c:val>
            <c:numRef>
              <c:f>Pivot!$H$15:$H$19</c:f>
              <c:numCache>
                <c:formatCode>General</c:formatCode>
                <c:ptCount val="4"/>
                <c:pt idx="0">
                  <c:v>25</c:v>
                </c:pt>
                <c:pt idx="1">
                  <c:v>25</c:v>
                </c:pt>
                <c:pt idx="2">
                  <c:v>15</c:v>
                </c:pt>
                <c:pt idx="3">
                  <c:v>21</c:v>
                </c:pt>
              </c:numCache>
            </c:numRef>
          </c:val>
          <c:extLst>
            <c:ext xmlns:c16="http://schemas.microsoft.com/office/drawing/2014/chart" uri="{C3380CC4-5D6E-409C-BE32-E72D297353CC}">
              <c16:uniqueId val="{0000000A-E3F9-4FF8-838A-563006582CE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4000">
          <a:schemeClr val="accent1">
            <a:lumMod val="5000"/>
            <a:lumOff val="95000"/>
          </a:schemeClr>
        </a:gs>
        <a:gs pos="59000">
          <a:schemeClr val="accent1">
            <a:lumMod val="30000"/>
            <a:lumOff val="70000"/>
          </a:schemeClr>
        </a:gs>
      </a:gsLst>
      <a:lin ang="5400000" scaled="1"/>
    </a:gradFill>
    <a:ln w="9525" cap="flat" cmpd="sng" algn="ctr">
      <a:solidFill>
        <a:schemeClr val="accent1">
          <a:alpha val="40000"/>
        </a:schemeClr>
      </a:solidFill>
      <a:round/>
    </a:ln>
    <a:effectLst/>
    <a:scene3d>
      <a:camera prst="orthographicFront"/>
      <a:lightRig rig="threePt" dir="t"/>
    </a:scene3d>
    <a:sp3d>
      <a:bevelT w="57150"/>
      <a:bevelB w="571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Products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Pivot!$K$1</c:f>
              <c:strCache>
                <c:ptCount val="1"/>
                <c:pt idx="0">
                  <c:v>Total</c:v>
                </c:pt>
              </c:strCache>
            </c:strRef>
          </c:tx>
          <c:spPr>
            <a:solidFill>
              <a:schemeClr val="accent1"/>
            </a:solidFill>
            <a:ln>
              <a:noFill/>
            </a:ln>
            <a:effectLst/>
          </c:spPr>
          <c:invertIfNegative val="0"/>
          <c:cat>
            <c:strRef>
              <c:f>Pivot!$J$2:$J$10</c:f>
              <c:strCache>
                <c:ptCount val="8"/>
                <c:pt idx="0">
                  <c:v>Americano</c:v>
                </c:pt>
                <c:pt idx="1">
                  <c:v>Latte</c:v>
                </c:pt>
                <c:pt idx="2">
                  <c:v>Mocha</c:v>
                </c:pt>
                <c:pt idx="3">
                  <c:v>Blueberry Muffin</c:v>
                </c:pt>
                <c:pt idx="4">
                  <c:v>Cappuccino</c:v>
                </c:pt>
                <c:pt idx="5">
                  <c:v>Croissant</c:v>
                </c:pt>
                <c:pt idx="6">
                  <c:v>Espresso</c:v>
                </c:pt>
                <c:pt idx="7">
                  <c:v>Chocolate Brownie</c:v>
                </c:pt>
              </c:strCache>
            </c:strRef>
          </c:cat>
          <c:val>
            <c:numRef>
              <c:f>Pivot!$K$2:$K$10</c:f>
              <c:numCache>
                <c:formatCode>"₹"\ #,##0</c:formatCode>
                <c:ptCount val="8"/>
                <c:pt idx="0">
                  <c:v>7817</c:v>
                </c:pt>
                <c:pt idx="1">
                  <c:v>7665</c:v>
                </c:pt>
                <c:pt idx="2">
                  <c:v>6763</c:v>
                </c:pt>
                <c:pt idx="3">
                  <c:v>5302</c:v>
                </c:pt>
                <c:pt idx="4">
                  <c:v>5124</c:v>
                </c:pt>
                <c:pt idx="5">
                  <c:v>2938</c:v>
                </c:pt>
                <c:pt idx="6">
                  <c:v>2375</c:v>
                </c:pt>
                <c:pt idx="7">
                  <c:v>1164</c:v>
                </c:pt>
              </c:numCache>
            </c:numRef>
          </c:val>
          <c:extLst>
            <c:ext xmlns:c16="http://schemas.microsoft.com/office/drawing/2014/chart" uri="{C3380CC4-5D6E-409C-BE32-E72D297353CC}">
              <c16:uniqueId val="{00000000-70E8-4718-957C-049EFCB822A4}"/>
            </c:ext>
          </c:extLst>
        </c:ser>
        <c:dLbls>
          <c:showLegendKey val="0"/>
          <c:showVal val="0"/>
          <c:showCatName val="0"/>
          <c:showSerName val="0"/>
          <c:showPercent val="0"/>
          <c:showBubbleSize val="0"/>
        </c:dLbls>
        <c:gapWidth val="182"/>
        <c:axId val="759304048"/>
        <c:axId val="759301648"/>
      </c:barChart>
      <c:catAx>
        <c:axId val="75930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301648"/>
        <c:crosses val="autoZero"/>
        <c:auto val="1"/>
        <c:lblAlgn val="ctr"/>
        <c:lblOffset val="100"/>
        <c:noMultiLvlLbl val="0"/>
      </c:catAx>
      <c:valAx>
        <c:axId val="7593016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96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30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4000">
          <a:schemeClr val="accent1">
            <a:lumMod val="5000"/>
            <a:lumOff val="95000"/>
          </a:schemeClr>
        </a:gs>
        <a:gs pos="59000">
          <a:schemeClr val="accent1">
            <a:lumMod val="30000"/>
            <a:lumOff val="70000"/>
          </a:schemeClr>
        </a:gs>
      </a:gsLst>
      <a:lin ang="5400000" scaled="1"/>
    </a:gradFill>
    <a:ln w="9525" cap="flat" cmpd="sng" algn="ctr">
      <a:solidFill>
        <a:schemeClr val="accent1">
          <a:alpha val="40000"/>
        </a:schemeClr>
      </a:solidFill>
      <a:round/>
    </a:ln>
    <a:effectLst/>
    <a:scene3d>
      <a:camera prst="orthographicFront"/>
      <a:lightRig rig="threePt" dir="t"/>
    </a:scene3d>
    <a:sp3d>
      <a:bevelT w="57150"/>
      <a:bevelB w="571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Salesperson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Pivot!$K$14</c:f>
              <c:strCache>
                <c:ptCount val="1"/>
                <c:pt idx="0">
                  <c:v>Total</c:v>
                </c:pt>
              </c:strCache>
            </c:strRef>
          </c:tx>
          <c:spPr>
            <a:solidFill>
              <a:schemeClr val="accent1"/>
            </a:solidFill>
            <a:ln>
              <a:noFill/>
            </a:ln>
            <a:effectLst/>
          </c:spPr>
          <c:invertIfNegative val="0"/>
          <c:cat>
            <c:strRef>
              <c:f>Pivot!$J$15:$J$25</c:f>
              <c:strCache>
                <c:ptCount val="10"/>
                <c:pt idx="0">
                  <c:v>Aarav</c:v>
                </c:pt>
                <c:pt idx="1">
                  <c:v>Ananya</c:v>
                </c:pt>
                <c:pt idx="2">
                  <c:v>Karan</c:v>
                </c:pt>
                <c:pt idx="3">
                  <c:v>Neha</c:v>
                </c:pt>
                <c:pt idx="4">
                  <c:v>Pooja</c:v>
                </c:pt>
                <c:pt idx="5">
                  <c:v>Priya</c:v>
                </c:pt>
                <c:pt idx="6">
                  <c:v>Rahul</c:v>
                </c:pt>
                <c:pt idx="7">
                  <c:v>Rohan</c:v>
                </c:pt>
                <c:pt idx="8">
                  <c:v>Sneha</c:v>
                </c:pt>
                <c:pt idx="9">
                  <c:v>Vikram</c:v>
                </c:pt>
              </c:strCache>
            </c:strRef>
          </c:cat>
          <c:val>
            <c:numRef>
              <c:f>Pivot!$K$15:$K$25</c:f>
              <c:numCache>
                <c:formatCode>"₹"\ #,##0</c:formatCode>
                <c:ptCount val="10"/>
                <c:pt idx="0">
                  <c:v>2924</c:v>
                </c:pt>
                <c:pt idx="1">
                  <c:v>3791</c:v>
                </c:pt>
                <c:pt idx="2">
                  <c:v>4975</c:v>
                </c:pt>
                <c:pt idx="3">
                  <c:v>3317</c:v>
                </c:pt>
                <c:pt idx="4">
                  <c:v>4389</c:v>
                </c:pt>
                <c:pt idx="5">
                  <c:v>3024</c:v>
                </c:pt>
                <c:pt idx="6">
                  <c:v>5283</c:v>
                </c:pt>
                <c:pt idx="7">
                  <c:v>2960</c:v>
                </c:pt>
                <c:pt idx="8">
                  <c:v>5084</c:v>
                </c:pt>
                <c:pt idx="9">
                  <c:v>3401</c:v>
                </c:pt>
              </c:numCache>
            </c:numRef>
          </c:val>
          <c:extLst>
            <c:ext xmlns:c16="http://schemas.microsoft.com/office/drawing/2014/chart" uri="{C3380CC4-5D6E-409C-BE32-E72D297353CC}">
              <c16:uniqueId val="{00000000-EE30-47FA-B9B7-481ED94CA4FB}"/>
            </c:ext>
          </c:extLst>
        </c:ser>
        <c:dLbls>
          <c:showLegendKey val="0"/>
          <c:showVal val="0"/>
          <c:showCatName val="0"/>
          <c:showSerName val="0"/>
          <c:showPercent val="0"/>
          <c:showBubbleSize val="0"/>
        </c:dLbls>
        <c:gapWidth val="219"/>
        <c:overlap val="-27"/>
        <c:axId val="2048262192"/>
        <c:axId val="2048260752"/>
      </c:barChart>
      <c:catAx>
        <c:axId val="2048262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260752"/>
        <c:crosses val="autoZero"/>
        <c:auto val="1"/>
        <c:lblAlgn val="ctr"/>
        <c:lblOffset val="100"/>
        <c:noMultiLvlLbl val="0"/>
      </c:catAx>
      <c:valAx>
        <c:axId val="2048260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26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4000">
          <a:schemeClr val="accent1">
            <a:lumMod val="5000"/>
            <a:lumOff val="95000"/>
          </a:schemeClr>
        </a:gs>
        <a:gs pos="59000">
          <a:schemeClr val="accent1">
            <a:lumMod val="30000"/>
            <a:lumOff val="70000"/>
          </a:schemeClr>
        </a:gs>
      </a:gsLst>
      <a:lin ang="5400000" scaled="1"/>
    </a:gradFill>
    <a:ln w="9525" cap="flat" cmpd="sng" algn="ctr">
      <a:solidFill>
        <a:schemeClr val="accent1">
          <a:alpha val="40000"/>
        </a:schemeClr>
      </a:solidFill>
      <a:round/>
    </a:ln>
    <a:effectLst/>
    <a:scene3d>
      <a:camera prst="orthographicFront"/>
      <a:lightRig rig="threePt" dir="t"/>
    </a:scene3d>
    <a:sp3d>
      <a:bevelT w="57150"/>
      <a:bevelB w="571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[Coffee Shop Sales Dashboard.xlsx]Pivot!PivotTable14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Pivot!$N$1</c:f>
              <c:strCache>
                <c:ptCount val="1"/>
                <c:pt idx="0">
                  <c:v>Total</c:v>
                </c:pt>
              </c:strCache>
            </c:strRef>
          </c:tx>
          <c:spPr>
            <a:solidFill>
              <a:schemeClr val="accent1"/>
            </a:solidFill>
            <a:ln>
              <a:noFill/>
            </a:ln>
            <a:effectLst/>
          </c:spPr>
          <c:invertIfNegative val="0"/>
          <c:cat>
            <c:strRef>
              <c:f>Pivot!$M$2:$M$5</c:f>
              <c:strCache>
                <c:ptCount val="3"/>
                <c:pt idx="0">
                  <c:v>3</c:v>
                </c:pt>
                <c:pt idx="1">
                  <c:v>4</c:v>
                </c:pt>
                <c:pt idx="2">
                  <c:v>5</c:v>
                </c:pt>
              </c:strCache>
            </c:strRef>
          </c:cat>
          <c:val>
            <c:numRef>
              <c:f>Pivot!$N$2:$N$5</c:f>
              <c:numCache>
                <c:formatCode>General</c:formatCode>
                <c:ptCount val="3"/>
                <c:pt idx="0">
                  <c:v>26</c:v>
                </c:pt>
                <c:pt idx="1">
                  <c:v>31</c:v>
                </c:pt>
                <c:pt idx="2">
                  <c:v>29</c:v>
                </c:pt>
              </c:numCache>
            </c:numRef>
          </c:val>
          <c:extLst>
            <c:ext xmlns:c16="http://schemas.microsoft.com/office/drawing/2014/chart" uri="{C3380CC4-5D6E-409C-BE32-E72D297353CC}">
              <c16:uniqueId val="{00000000-421B-4A3B-865A-467435C32190}"/>
            </c:ext>
          </c:extLst>
        </c:ser>
        <c:dLbls>
          <c:showLegendKey val="0"/>
          <c:showVal val="0"/>
          <c:showCatName val="0"/>
          <c:showSerName val="0"/>
          <c:showPercent val="0"/>
          <c:showBubbleSize val="0"/>
        </c:dLbls>
        <c:gapWidth val="219"/>
        <c:overlap val="-27"/>
        <c:axId val="1468591984"/>
        <c:axId val="1468602544"/>
      </c:barChart>
      <c:catAx>
        <c:axId val="146859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602544"/>
        <c:crosses val="autoZero"/>
        <c:auto val="1"/>
        <c:lblAlgn val="ctr"/>
        <c:lblOffset val="100"/>
        <c:noMultiLvlLbl val="0"/>
      </c:catAx>
      <c:valAx>
        <c:axId val="146860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859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74000">
          <a:schemeClr val="accent1">
            <a:lumMod val="5000"/>
            <a:lumOff val="95000"/>
          </a:schemeClr>
        </a:gs>
        <a:gs pos="59000">
          <a:schemeClr val="accent1">
            <a:lumMod val="30000"/>
            <a:lumOff val="70000"/>
          </a:schemeClr>
        </a:gs>
      </a:gsLst>
      <a:lin ang="5400000" scaled="1"/>
    </a:gradFill>
    <a:ln w="9525" cap="flat" cmpd="sng" algn="ctr">
      <a:solidFill>
        <a:schemeClr val="accent1">
          <a:alpha val="40000"/>
        </a:schemeClr>
      </a:solidFill>
      <a:round/>
    </a:ln>
    <a:effectLst/>
    <a:scene3d>
      <a:camera prst="orthographicFront"/>
      <a:lightRig rig="threePt" dir="t"/>
    </a:scene3d>
    <a:sp3d>
      <a:bevelT w="57150"/>
      <a:bevelB w="5715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166468</xdr:colOff>
      <xdr:row>4</xdr:row>
      <xdr:rowOff>170570</xdr:rowOff>
    </xdr:from>
    <xdr:to>
      <xdr:col>5</xdr:col>
      <xdr:colOff>289560</xdr:colOff>
      <xdr:row>14</xdr:row>
      <xdr:rowOff>152400</xdr:rowOff>
    </xdr:to>
    <xdr:graphicFrame macro="">
      <xdr:nvGraphicFramePr>
        <xdr:cNvPr id="2" name="Chart 1">
          <a:extLst>
            <a:ext uri="{FF2B5EF4-FFF2-40B4-BE49-F238E27FC236}">
              <a16:creationId xmlns:a16="http://schemas.microsoft.com/office/drawing/2014/main" id="{39B2FFEF-518E-489C-AD30-FEB9CCE329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319064</xdr:colOff>
      <xdr:row>4</xdr:row>
      <xdr:rowOff>170570</xdr:rowOff>
    </xdr:from>
    <xdr:to>
      <xdr:col>11</xdr:col>
      <xdr:colOff>38100</xdr:colOff>
      <xdr:row>14</xdr:row>
      <xdr:rowOff>152400</xdr:rowOff>
    </xdr:to>
    <xdr:graphicFrame macro="">
      <xdr:nvGraphicFramePr>
        <xdr:cNvPr id="3" name="Chart 2">
          <a:extLst>
            <a:ext uri="{FF2B5EF4-FFF2-40B4-BE49-F238E27FC236}">
              <a16:creationId xmlns:a16="http://schemas.microsoft.com/office/drawing/2014/main" id="{273AD10E-5A81-4ABC-82CD-A81D1D9E6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71316</xdr:colOff>
      <xdr:row>3</xdr:row>
      <xdr:rowOff>22860</xdr:rowOff>
    </xdr:from>
    <xdr:to>
      <xdr:col>15</xdr:col>
      <xdr:colOff>7620</xdr:colOff>
      <xdr:row>14</xdr:row>
      <xdr:rowOff>144780</xdr:rowOff>
    </xdr:to>
    <xdr:graphicFrame macro="">
      <xdr:nvGraphicFramePr>
        <xdr:cNvPr id="4" name="Chart 3">
          <a:extLst>
            <a:ext uri="{FF2B5EF4-FFF2-40B4-BE49-F238E27FC236}">
              <a16:creationId xmlns:a16="http://schemas.microsoft.com/office/drawing/2014/main" id="{E2397C03-52DC-4BF5-8B5A-BB403E9D5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41030</xdr:colOff>
      <xdr:row>3</xdr:row>
      <xdr:rowOff>22860</xdr:rowOff>
    </xdr:from>
    <xdr:to>
      <xdr:col>19</xdr:col>
      <xdr:colOff>571500</xdr:colOff>
      <xdr:row>14</xdr:row>
      <xdr:rowOff>144780</xdr:rowOff>
    </xdr:to>
    <xdr:graphicFrame macro="">
      <xdr:nvGraphicFramePr>
        <xdr:cNvPr id="5" name="Chart 4">
          <a:extLst>
            <a:ext uri="{FF2B5EF4-FFF2-40B4-BE49-F238E27FC236}">
              <a16:creationId xmlns:a16="http://schemas.microsoft.com/office/drawing/2014/main" id="{8D798685-2008-4C58-8C0D-C8563A6E0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167640</xdr:colOff>
      <xdr:row>14</xdr:row>
      <xdr:rowOff>171743</xdr:rowOff>
    </xdr:from>
    <xdr:to>
      <xdr:col>5</xdr:col>
      <xdr:colOff>22860</xdr:colOff>
      <xdr:row>25</xdr:row>
      <xdr:rowOff>0</xdr:rowOff>
    </xdr:to>
    <xdr:graphicFrame macro="">
      <xdr:nvGraphicFramePr>
        <xdr:cNvPr id="6" name="Chart 5">
          <a:extLst>
            <a:ext uri="{FF2B5EF4-FFF2-40B4-BE49-F238E27FC236}">
              <a16:creationId xmlns:a16="http://schemas.microsoft.com/office/drawing/2014/main" id="{B9CD2C6D-468B-46AF-9749-E7196CC8A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257517</xdr:colOff>
      <xdr:row>14</xdr:row>
      <xdr:rowOff>171743</xdr:rowOff>
    </xdr:from>
    <xdr:to>
      <xdr:col>14</xdr:col>
      <xdr:colOff>373380</xdr:colOff>
      <xdr:row>24</xdr:row>
      <xdr:rowOff>167640</xdr:rowOff>
    </xdr:to>
    <xdr:graphicFrame macro="">
      <xdr:nvGraphicFramePr>
        <xdr:cNvPr id="7" name="Chart 6">
          <a:extLst>
            <a:ext uri="{FF2B5EF4-FFF2-40B4-BE49-F238E27FC236}">
              <a16:creationId xmlns:a16="http://schemas.microsoft.com/office/drawing/2014/main" id="{E7BE1E70-603A-4E03-8C1B-16475856B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60960</xdr:colOff>
      <xdr:row>14</xdr:row>
      <xdr:rowOff>171743</xdr:rowOff>
    </xdr:from>
    <xdr:to>
      <xdr:col>10</xdr:col>
      <xdr:colOff>220980</xdr:colOff>
      <xdr:row>25</xdr:row>
      <xdr:rowOff>0</xdr:rowOff>
    </xdr:to>
    <xdr:graphicFrame macro="">
      <xdr:nvGraphicFramePr>
        <xdr:cNvPr id="8" name="Chart 7">
          <a:extLst>
            <a:ext uri="{FF2B5EF4-FFF2-40B4-BE49-F238E27FC236}">
              <a16:creationId xmlns:a16="http://schemas.microsoft.com/office/drawing/2014/main" id="{77AF747C-C2B8-4C86-B736-3755C2EA20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403860</xdr:colOff>
      <xdr:row>14</xdr:row>
      <xdr:rowOff>171743</xdr:rowOff>
    </xdr:from>
    <xdr:to>
      <xdr:col>19</xdr:col>
      <xdr:colOff>571500</xdr:colOff>
      <xdr:row>25</xdr:row>
      <xdr:rowOff>0</xdr:rowOff>
    </xdr:to>
    <xdr:graphicFrame macro="">
      <xdr:nvGraphicFramePr>
        <xdr:cNvPr id="9" name="Chart 8">
          <a:extLst>
            <a:ext uri="{FF2B5EF4-FFF2-40B4-BE49-F238E27FC236}">
              <a16:creationId xmlns:a16="http://schemas.microsoft.com/office/drawing/2014/main" id="{6FABE3FB-7919-408D-B6C5-9C89D707D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38100</xdr:colOff>
      <xdr:row>1</xdr:row>
      <xdr:rowOff>22860</xdr:rowOff>
    </xdr:from>
    <xdr:to>
      <xdr:col>2</xdr:col>
      <xdr:colOff>106680</xdr:colOff>
      <xdr:row>4</xdr:row>
      <xdr:rowOff>106680</xdr:rowOff>
    </xdr:to>
    <xdr:sp macro="" textlink="">
      <xdr:nvSpPr>
        <xdr:cNvPr id="13" name="Rectangle: Rounded Corners 12">
          <a:extLst>
            <a:ext uri="{FF2B5EF4-FFF2-40B4-BE49-F238E27FC236}">
              <a16:creationId xmlns:a16="http://schemas.microsoft.com/office/drawing/2014/main" id="{6E29A53A-F16B-2364-4CDD-65A4276178A4}"/>
            </a:ext>
          </a:extLst>
        </xdr:cNvPr>
        <xdr:cNvSpPr/>
      </xdr:nvSpPr>
      <xdr:spPr>
        <a:xfrm>
          <a:off x="38100" y="617220"/>
          <a:ext cx="1287780" cy="632460"/>
        </a:xfrm>
        <a:prstGeom prst="roundRect">
          <a:avLst/>
        </a:prstGeom>
        <a:solidFill>
          <a:schemeClr val="bg1"/>
        </a:solidFill>
        <a:ln w="19050">
          <a:solidFill>
            <a:schemeClr val="accent2">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IN" sz="1100"/>
        </a:p>
      </xdr:txBody>
    </xdr:sp>
    <xdr:clientData/>
  </xdr:twoCellAnchor>
  <xdr:twoCellAnchor>
    <xdr:from>
      <xdr:col>2</xdr:col>
      <xdr:colOff>160020</xdr:colOff>
      <xdr:row>1</xdr:row>
      <xdr:rowOff>22860</xdr:rowOff>
    </xdr:from>
    <xdr:to>
      <xdr:col>4</xdr:col>
      <xdr:colOff>228600</xdr:colOff>
      <xdr:row>4</xdr:row>
      <xdr:rowOff>106680</xdr:rowOff>
    </xdr:to>
    <xdr:sp macro="" textlink="">
      <xdr:nvSpPr>
        <xdr:cNvPr id="14" name="Rectangle: Rounded Corners 13">
          <a:extLst>
            <a:ext uri="{FF2B5EF4-FFF2-40B4-BE49-F238E27FC236}">
              <a16:creationId xmlns:a16="http://schemas.microsoft.com/office/drawing/2014/main" id="{A12BCF9A-901B-4063-BB57-934DA300A370}"/>
            </a:ext>
          </a:extLst>
        </xdr:cNvPr>
        <xdr:cNvSpPr/>
      </xdr:nvSpPr>
      <xdr:spPr>
        <a:xfrm>
          <a:off x="1379220" y="617220"/>
          <a:ext cx="1287780" cy="632460"/>
        </a:xfrm>
        <a:prstGeom prst="roundRect">
          <a:avLst/>
        </a:prstGeom>
        <a:solidFill>
          <a:schemeClr val="bg1"/>
        </a:solidFill>
        <a:ln w="19050">
          <a:solidFill>
            <a:schemeClr val="accent2">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548640</xdr:colOff>
      <xdr:row>1</xdr:row>
      <xdr:rowOff>30480</xdr:rowOff>
    </xdr:from>
    <xdr:to>
      <xdr:col>11</xdr:col>
      <xdr:colOff>7620</xdr:colOff>
      <xdr:row>4</xdr:row>
      <xdr:rowOff>114300</xdr:rowOff>
    </xdr:to>
    <xdr:sp macro="" textlink="">
      <xdr:nvSpPr>
        <xdr:cNvPr id="15" name="Rectangle: Rounded Corners 14">
          <a:extLst>
            <a:ext uri="{FF2B5EF4-FFF2-40B4-BE49-F238E27FC236}">
              <a16:creationId xmlns:a16="http://schemas.microsoft.com/office/drawing/2014/main" id="{DA7480A4-BD83-4AEE-86A0-E725DFF4C063}"/>
            </a:ext>
          </a:extLst>
        </xdr:cNvPr>
        <xdr:cNvSpPr/>
      </xdr:nvSpPr>
      <xdr:spPr>
        <a:xfrm>
          <a:off x="5425440" y="624840"/>
          <a:ext cx="1287780" cy="632460"/>
        </a:xfrm>
        <a:prstGeom prst="roundRect">
          <a:avLst/>
        </a:prstGeom>
        <a:solidFill>
          <a:schemeClr val="bg1"/>
        </a:solidFill>
        <a:ln w="19050">
          <a:solidFill>
            <a:schemeClr val="accent2">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289560</xdr:colOff>
      <xdr:row>1</xdr:row>
      <xdr:rowOff>30480</xdr:rowOff>
    </xdr:from>
    <xdr:to>
      <xdr:col>6</xdr:col>
      <xdr:colOff>358140</xdr:colOff>
      <xdr:row>4</xdr:row>
      <xdr:rowOff>114300</xdr:rowOff>
    </xdr:to>
    <xdr:sp macro="" textlink="">
      <xdr:nvSpPr>
        <xdr:cNvPr id="16" name="Rectangle: Rounded Corners 15">
          <a:extLst>
            <a:ext uri="{FF2B5EF4-FFF2-40B4-BE49-F238E27FC236}">
              <a16:creationId xmlns:a16="http://schemas.microsoft.com/office/drawing/2014/main" id="{C5C5C5F8-0E32-4E3B-8A90-8BA1ED242E33}"/>
            </a:ext>
          </a:extLst>
        </xdr:cNvPr>
        <xdr:cNvSpPr/>
      </xdr:nvSpPr>
      <xdr:spPr>
        <a:xfrm>
          <a:off x="2727960" y="624840"/>
          <a:ext cx="1287780" cy="632460"/>
        </a:xfrm>
        <a:prstGeom prst="roundRect">
          <a:avLst/>
        </a:prstGeom>
        <a:solidFill>
          <a:schemeClr val="bg1"/>
        </a:solidFill>
        <a:ln w="19050">
          <a:solidFill>
            <a:schemeClr val="accent2">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419100</xdr:colOff>
      <xdr:row>1</xdr:row>
      <xdr:rowOff>22860</xdr:rowOff>
    </xdr:from>
    <xdr:to>
      <xdr:col>8</xdr:col>
      <xdr:colOff>487680</xdr:colOff>
      <xdr:row>4</xdr:row>
      <xdr:rowOff>106680</xdr:rowOff>
    </xdr:to>
    <xdr:sp macro="" textlink="">
      <xdr:nvSpPr>
        <xdr:cNvPr id="17" name="Rectangle: Rounded Corners 16">
          <a:extLst>
            <a:ext uri="{FF2B5EF4-FFF2-40B4-BE49-F238E27FC236}">
              <a16:creationId xmlns:a16="http://schemas.microsoft.com/office/drawing/2014/main" id="{11056730-0848-418B-81F0-B06B19A68CD9}"/>
            </a:ext>
          </a:extLst>
        </xdr:cNvPr>
        <xdr:cNvSpPr/>
      </xdr:nvSpPr>
      <xdr:spPr>
        <a:xfrm>
          <a:off x="4076700" y="617220"/>
          <a:ext cx="1287780" cy="632460"/>
        </a:xfrm>
        <a:prstGeom prst="roundRect">
          <a:avLst/>
        </a:prstGeom>
        <a:solidFill>
          <a:schemeClr val="bg1"/>
        </a:solidFill>
        <a:ln w="19050">
          <a:solidFill>
            <a:schemeClr val="accent2">
              <a:lumMod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144780</xdr:colOff>
      <xdr:row>1</xdr:row>
      <xdr:rowOff>68580</xdr:rowOff>
    </xdr:from>
    <xdr:to>
      <xdr:col>1</xdr:col>
      <xdr:colOff>594360</xdr:colOff>
      <xdr:row>2</xdr:row>
      <xdr:rowOff>68580</xdr:rowOff>
    </xdr:to>
    <xdr:sp macro="" textlink="">
      <xdr:nvSpPr>
        <xdr:cNvPr id="24" name="TextBox 23">
          <a:extLst>
            <a:ext uri="{FF2B5EF4-FFF2-40B4-BE49-F238E27FC236}">
              <a16:creationId xmlns:a16="http://schemas.microsoft.com/office/drawing/2014/main" id="{3EB60D1B-445E-8E46-6149-2504D3D42D5D}"/>
            </a:ext>
          </a:extLst>
        </xdr:cNvPr>
        <xdr:cNvSpPr txBox="1"/>
      </xdr:nvSpPr>
      <xdr:spPr>
        <a:xfrm>
          <a:off x="144780" y="662940"/>
          <a:ext cx="105918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accent2">
                  <a:lumMod val="50000"/>
                </a:schemeClr>
              </a:solidFill>
              <a:latin typeface="Aptos" panose="020B0004020202020204" pitchFamily="34" charset="0"/>
            </a:rPr>
            <a:t>Total Revenue</a:t>
          </a:r>
        </a:p>
      </xdr:txBody>
    </xdr:sp>
    <xdr:clientData/>
  </xdr:twoCellAnchor>
  <xdr:twoCellAnchor>
    <xdr:from>
      <xdr:col>2</xdr:col>
      <xdr:colOff>266700</xdr:colOff>
      <xdr:row>1</xdr:row>
      <xdr:rowOff>68580</xdr:rowOff>
    </xdr:from>
    <xdr:to>
      <xdr:col>4</xdr:col>
      <xdr:colOff>106680</xdr:colOff>
      <xdr:row>2</xdr:row>
      <xdr:rowOff>68580</xdr:rowOff>
    </xdr:to>
    <xdr:sp macro="" textlink="">
      <xdr:nvSpPr>
        <xdr:cNvPr id="25" name="TextBox 24">
          <a:extLst>
            <a:ext uri="{FF2B5EF4-FFF2-40B4-BE49-F238E27FC236}">
              <a16:creationId xmlns:a16="http://schemas.microsoft.com/office/drawing/2014/main" id="{C2E5F3B2-B26B-459A-B464-4DE9059FE607}"/>
            </a:ext>
          </a:extLst>
        </xdr:cNvPr>
        <xdr:cNvSpPr txBox="1"/>
      </xdr:nvSpPr>
      <xdr:spPr>
        <a:xfrm>
          <a:off x="1485900" y="662940"/>
          <a:ext cx="105918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accent2">
                  <a:lumMod val="50000"/>
                </a:schemeClr>
              </a:solidFill>
              <a:latin typeface="Aptos" panose="020B0004020202020204" pitchFamily="34" charset="0"/>
            </a:rPr>
            <a:t>Total Orders</a:t>
          </a:r>
        </a:p>
      </xdr:txBody>
    </xdr:sp>
    <xdr:clientData/>
  </xdr:twoCellAnchor>
  <xdr:twoCellAnchor>
    <xdr:from>
      <xdr:col>4</xdr:col>
      <xdr:colOff>358140</xdr:colOff>
      <xdr:row>1</xdr:row>
      <xdr:rowOff>76200</xdr:rowOff>
    </xdr:from>
    <xdr:to>
      <xdr:col>6</xdr:col>
      <xdr:colOff>281940</xdr:colOff>
      <xdr:row>2</xdr:row>
      <xdr:rowOff>83820</xdr:rowOff>
    </xdr:to>
    <xdr:sp macro="" textlink="">
      <xdr:nvSpPr>
        <xdr:cNvPr id="26" name="TextBox 25">
          <a:extLst>
            <a:ext uri="{FF2B5EF4-FFF2-40B4-BE49-F238E27FC236}">
              <a16:creationId xmlns:a16="http://schemas.microsoft.com/office/drawing/2014/main" id="{D7A9A4D5-25C0-4232-94CF-9D59745587EB}"/>
            </a:ext>
          </a:extLst>
        </xdr:cNvPr>
        <xdr:cNvSpPr txBox="1"/>
      </xdr:nvSpPr>
      <xdr:spPr>
        <a:xfrm>
          <a:off x="2796540" y="670560"/>
          <a:ext cx="11430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accent2">
                  <a:lumMod val="50000"/>
                </a:schemeClr>
              </a:solidFill>
              <a:latin typeface="Aptos" panose="020B0004020202020204" pitchFamily="34" charset="0"/>
            </a:rPr>
            <a:t>Total Customers</a:t>
          </a:r>
        </a:p>
      </xdr:txBody>
    </xdr:sp>
    <xdr:clientData/>
  </xdr:twoCellAnchor>
  <xdr:twoCellAnchor>
    <xdr:from>
      <xdr:col>6</xdr:col>
      <xdr:colOff>350520</xdr:colOff>
      <xdr:row>1</xdr:row>
      <xdr:rowOff>83820</xdr:rowOff>
    </xdr:from>
    <xdr:to>
      <xdr:col>9</xdr:col>
      <xdr:colOff>15240</xdr:colOff>
      <xdr:row>2</xdr:row>
      <xdr:rowOff>129540</xdr:rowOff>
    </xdr:to>
    <xdr:sp macro="" textlink="">
      <xdr:nvSpPr>
        <xdr:cNvPr id="27" name="TextBox 26">
          <a:extLst>
            <a:ext uri="{FF2B5EF4-FFF2-40B4-BE49-F238E27FC236}">
              <a16:creationId xmlns:a16="http://schemas.microsoft.com/office/drawing/2014/main" id="{1053F7D4-05E3-4CF4-8C11-E67BD27161AF}"/>
            </a:ext>
          </a:extLst>
        </xdr:cNvPr>
        <xdr:cNvSpPr txBox="1"/>
      </xdr:nvSpPr>
      <xdr:spPr>
        <a:xfrm>
          <a:off x="4008120" y="678180"/>
          <a:ext cx="14935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accent2">
                  <a:lumMod val="50000"/>
                </a:schemeClr>
              </a:solidFill>
              <a:latin typeface="Aptos" panose="020B0004020202020204" pitchFamily="34" charset="0"/>
            </a:rPr>
            <a:t>Total Profit</a:t>
          </a:r>
        </a:p>
      </xdr:txBody>
    </xdr:sp>
    <xdr:clientData/>
  </xdr:twoCellAnchor>
  <xdr:twoCellAnchor>
    <xdr:from>
      <xdr:col>8</xdr:col>
      <xdr:colOff>548640</xdr:colOff>
      <xdr:row>1</xdr:row>
      <xdr:rowOff>83820</xdr:rowOff>
    </xdr:from>
    <xdr:to>
      <xdr:col>11</xdr:col>
      <xdr:colOff>38100</xdr:colOff>
      <xdr:row>2</xdr:row>
      <xdr:rowOff>129540</xdr:rowOff>
    </xdr:to>
    <xdr:sp macro="" textlink="">
      <xdr:nvSpPr>
        <xdr:cNvPr id="28" name="TextBox 27">
          <a:extLst>
            <a:ext uri="{FF2B5EF4-FFF2-40B4-BE49-F238E27FC236}">
              <a16:creationId xmlns:a16="http://schemas.microsoft.com/office/drawing/2014/main" id="{0FDD96B4-8EA1-4248-8D96-0D05E6629CE6}"/>
            </a:ext>
          </a:extLst>
        </xdr:cNvPr>
        <xdr:cNvSpPr txBox="1"/>
      </xdr:nvSpPr>
      <xdr:spPr>
        <a:xfrm>
          <a:off x="5913120" y="678180"/>
          <a:ext cx="150114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accent2">
                  <a:lumMod val="50000"/>
                </a:schemeClr>
              </a:solidFill>
              <a:latin typeface="Aptos" panose="020B0004020202020204" pitchFamily="34" charset="0"/>
            </a:rPr>
            <a:t>Average Order</a:t>
          </a:r>
          <a:r>
            <a:rPr lang="en-IN" sz="1100" b="1" baseline="0">
              <a:solidFill>
                <a:schemeClr val="accent2">
                  <a:lumMod val="50000"/>
                </a:schemeClr>
              </a:solidFill>
              <a:latin typeface="Aptos" panose="020B0004020202020204" pitchFamily="34" charset="0"/>
            </a:rPr>
            <a:t> Value</a:t>
          </a:r>
          <a:endParaRPr lang="en-IN" sz="1100" b="1">
            <a:solidFill>
              <a:schemeClr val="accent2">
                <a:lumMod val="50000"/>
              </a:schemeClr>
            </a:solidFill>
            <a:latin typeface="Aptos" panose="020B0004020202020204" pitchFamily="34" charset="0"/>
          </a:endParaRPr>
        </a:p>
      </xdr:txBody>
    </xdr:sp>
    <xdr:clientData/>
  </xdr:twoCellAnchor>
  <xdr:twoCellAnchor>
    <xdr:from>
      <xdr:col>0</xdr:col>
      <xdr:colOff>0</xdr:colOff>
      <xdr:row>2</xdr:row>
      <xdr:rowOff>76200</xdr:rowOff>
    </xdr:from>
    <xdr:to>
      <xdr:col>2</xdr:col>
      <xdr:colOff>129540</xdr:colOff>
      <xdr:row>4</xdr:row>
      <xdr:rowOff>70440</xdr:rowOff>
    </xdr:to>
    <xdr:sp macro="" textlink="#REF!">
      <xdr:nvSpPr>
        <xdr:cNvPr id="29" name="TextBox 28">
          <a:extLst>
            <a:ext uri="{FF2B5EF4-FFF2-40B4-BE49-F238E27FC236}">
              <a16:creationId xmlns:a16="http://schemas.microsoft.com/office/drawing/2014/main" id="{1055C9D3-0946-DF30-BF48-16DF9220E590}"/>
            </a:ext>
          </a:extLst>
        </xdr:cNvPr>
        <xdr:cNvSpPr txBox="1"/>
      </xdr:nvSpPr>
      <xdr:spPr>
        <a:xfrm>
          <a:off x="0" y="853440"/>
          <a:ext cx="134874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962860-D773-4281-83A0-87F361C00B4C}" type="TxLink">
            <a:rPr lang="en-US" sz="2000" b="1" i="0" u="none" strike="noStrike">
              <a:solidFill>
                <a:schemeClr val="accent2">
                  <a:lumMod val="50000"/>
                </a:schemeClr>
              </a:solidFill>
              <a:latin typeface="Aptos" panose="020B0004020202020204" pitchFamily="34" charset="0"/>
              <a:ea typeface="Calibri"/>
              <a:cs typeface="Calibri"/>
            </a:rPr>
            <a:t>₹ 4,53,537</a:t>
          </a:fld>
          <a:endParaRPr lang="en-US" sz="2000" b="1">
            <a:solidFill>
              <a:schemeClr val="accent2">
                <a:lumMod val="50000"/>
              </a:schemeClr>
            </a:solidFill>
            <a:latin typeface="Aptos" panose="020B0004020202020204" pitchFamily="34" charset="0"/>
          </a:endParaRPr>
        </a:p>
      </xdr:txBody>
    </xdr:sp>
    <xdr:clientData/>
  </xdr:twoCellAnchor>
  <xdr:twoCellAnchor>
    <xdr:from>
      <xdr:col>2</xdr:col>
      <xdr:colOff>243840</xdr:colOff>
      <xdr:row>2</xdr:row>
      <xdr:rowOff>76200</xdr:rowOff>
    </xdr:from>
    <xdr:to>
      <xdr:col>4</xdr:col>
      <xdr:colOff>104640</xdr:colOff>
      <xdr:row>4</xdr:row>
      <xdr:rowOff>70440</xdr:rowOff>
    </xdr:to>
    <xdr:sp macro="" textlink="#REF!">
      <xdr:nvSpPr>
        <xdr:cNvPr id="30" name="TextBox 29">
          <a:extLst>
            <a:ext uri="{FF2B5EF4-FFF2-40B4-BE49-F238E27FC236}">
              <a16:creationId xmlns:a16="http://schemas.microsoft.com/office/drawing/2014/main" id="{A52EEDA1-717C-4BF0-BFA1-D459B4B8AE53}"/>
            </a:ext>
          </a:extLst>
        </xdr:cNvPr>
        <xdr:cNvSpPr txBox="1"/>
      </xdr:nvSpPr>
      <xdr:spPr>
        <a:xfrm>
          <a:off x="1463040" y="853440"/>
          <a:ext cx="1080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043F44-E0E8-425C-9160-BE426A60BFB3}" type="TxLink">
            <a:rPr lang="en-US" sz="2000" b="1" i="0" u="none" strike="noStrike">
              <a:solidFill>
                <a:schemeClr val="accent2">
                  <a:lumMod val="50000"/>
                </a:schemeClr>
              </a:solidFill>
              <a:latin typeface="Aptos" panose="020B0004020202020204" pitchFamily="34" charset="0"/>
              <a:ea typeface="Calibri"/>
              <a:cs typeface="Calibri"/>
            </a:rPr>
            <a:pPr algn="ctr"/>
            <a:t>1000</a:t>
          </a:fld>
          <a:endParaRPr lang="en-US" sz="2000" b="1">
            <a:solidFill>
              <a:schemeClr val="accent2">
                <a:lumMod val="50000"/>
              </a:schemeClr>
            </a:solidFill>
            <a:latin typeface="Aptos" panose="020B0004020202020204" pitchFamily="34" charset="0"/>
          </a:endParaRPr>
        </a:p>
      </xdr:txBody>
    </xdr:sp>
    <xdr:clientData/>
  </xdr:twoCellAnchor>
  <xdr:twoCellAnchor>
    <xdr:from>
      <xdr:col>4</xdr:col>
      <xdr:colOff>388620</xdr:colOff>
      <xdr:row>2</xdr:row>
      <xdr:rowOff>68580</xdr:rowOff>
    </xdr:from>
    <xdr:to>
      <xdr:col>6</xdr:col>
      <xdr:colOff>249420</xdr:colOff>
      <xdr:row>4</xdr:row>
      <xdr:rowOff>62820</xdr:rowOff>
    </xdr:to>
    <xdr:sp macro="" textlink="#REF!">
      <xdr:nvSpPr>
        <xdr:cNvPr id="31" name="TextBox 30">
          <a:extLst>
            <a:ext uri="{FF2B5EF4-FFF2-40B4-BE49-F238E27FC236}">
              <a16:creationId xmlns:a16="http://schemas.microsoft.com/office/drawing/2014/main" id="{AF6EA73E-B43D-49B9-85E4-2BD545B4951D}"/>
            </a:ext>
          </a:extLst>
        </xdr:cNvPr>
        <xdr:cNvSpPr txBox="1"/>
      </xdr:nvSpPr>
      <xdr:spPr>
        <a:xfrm>
          <a:off x="2827020" y="845820"/>
          <a:ext cx="108000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6858BEC-B40A-482A-B6BB-8BE587BFD22F}" type="TxLink">
            <a:rPr lang="en-US" sz="2000" b="1" i="0" u="none" strike="noStrike">
              <a:solidFill>
                <a:schemeClr val="accent2">
                  <a:lumMod val="50000"/>
                </a:schemeClr>
              </a:solidFill>
              <a:latin typeface="Aptos" panose="020B0004020202020204" pitchFamily="34" charset="0"/>
              <a:ea typeface="Calibri"/>
              <a:cs typeface="Calibri"/>
            </a:rPr>
            <a:t>1000</a:t>
          </a:fld>
          <a:endParaRPr lang="en-US" sz="2000" b="1">
            <a:solidFill>
              <a:schemeClr val="accent2">
                <a:lumMod val="50000"/>
              </a:schemeClr>
            </a:solidFill>
            <a:latin typeface="Aptos" panose="020B0004020202020204" pitchFamily="34" charset="0"/>
          </a:endParaRPr>
        </a:p>
      </xdr:txBody>
    </xdr:sp>
    <xdr:clientData/>
  </xdr:twoCellAnchor>
  <xdr:twoCellAnchor>
    <xdr:from>
      <xdr:col>6</xdr:col>
      <xdr:colOff>358140</xdr:colOff>
      <xdr:row>2</xdr:row>
      <xdr:rowOff>76200</xdr:rowOff>
    </xdr:from>
    <xdr:to>
      <xdr:col>8</xdr:col>
      <xdr:colOff>525780</xdr:colOff>
      <xdr:row>4</xdr:row>
      <xdr:rowOff>70440</xdr:rowOff>
    </xdr:to>
    <xdr:sp macro="" textlink="#REF!">
      <xdr:nvSpPr>
        <xdr:cNvPr id="32" name="TextBox 31">
          <a:extLst>
            <a:ext uri="{FF2B5EF4-FFF2-40B4-BE49-F238E27FC236}">
              <a16:creationId xmlns:a16="http://schemas.microsoft.com/office/drawing/2014/main" id="{640FC327-E2F9-4B1D-9060-D89DEF26A8AE}"/>
            </a:ext>
          </a:extLst>
        </xdr:cNvPr>
        <xdr:cNvSpPr txBox="1"/>
      </xdr:nvSpPr>
      <xdr:spPr>
        <a:xfrm>
          <a:off x="4015740" y="853440"/>
          <a:ext cx="138684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E39FB08-9806-42E7-A5DE-16ADBC06F289}" type="TxLink">
            <a:rPr lang="en-US" sz="2000" b="1" i="0" u="none" strike="noStrike">
              <a:solidFill>
                <a:schemeClr val="accent2">
                  <a:lumMod val="50000"/>
                </a:schemeClr>
              </a:solidFill>
              <a:latin typeface="Aptos" panose="020B0004020202020204" pitchFamily="34" charset="0"/>
              <a:ea typeface="Calibri"/>
              <a:cs typeface="Calibri"/>
            </a:rPr>
            <a:t>₹ 2,14,237</a:t>
          </a:fld>
          <a:endParaRPr lang="en-US" sz="2000" b="1">
            <a:solidFill>
              <a:schemeClr val="accent2">
                <a:lumMod val="50000"/>
              </a:schemeClr>
            </a:solidFill>
            <a:latin typeface="Aptos" panose="020B0004020202020204" pitchFamily="34" charset="0"/>
          </a:endParaRPr>
        </a:p>
      </xdr:txBody>
    </xdr:sp>
    <xdr:clientData/>
  </xdr:twoCellAnchor>
  <xdr:twoCellAnchor>
    <xdr:from>
      <xdr:col>9</xdr:col>
      <xdr:colOff>15240</xdr:colOff>
      <xdr:row>2</xdr:row>
      <xdr:rowOff>68580</xdr:rowOff>
    </xdr:from>
    <xdr:to>
      <xdr:col>10</xdr:col>
      <xdr:colOff>533400</xdr:colOff>
      <xdr:row>4</xdr:row>
      <xdr:rowOff>62820</xdr:rowOff>
    </xdr:to>
    <xdr:sp macro="" textlink="#REF!">
      <xdr:nvSpPr>
        <xdr:cNvPr id="33" name="TextBox 32">
          <a:extLst>
            <a:ext uri="{FF2B5EF4-FFF2-40B4-BE49-F238E27FC236}">
              <a16:creationId xmlns:a16="http://schemas.microsoft.com/office/drawing/2014/main" id="{6F838680-FEF5-413C-AF6F-5E38916E0797}"/>
            </a:ext>
          </a:extLst>
        </xdr:cNvPr>
        <xdr:cNvSpPr txBox="1"/>
      </xdr:nvSpPr>
      <xdr:spPr>
        <a:xfrm>
          <a:off x="5501640" y="845820"/>
          <a:ext cx="1127760" cy="36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ED9D486-BC8A-4C1F-8A3F-1D45884119EE}" type="TxLink">
            <a:rPr lang="en-US" sz="2000" b="1" i="0" u="none" strike="noStrike">
              <a:solidFill>
                <a:schemeClr val="accent2">
                  <a:lumMod val="50000"/>
                </a:schemeClr>
              </a:solidFill>
              <a:latin typeface="Aptos" panose="020B0004020202020204" pitchFamily="34" charset="0"/>
              <a:ea typeface="Calibri"/>
              <a:cs typeface="Calibri"/>
            </a:rPr>
            <a:t>₹ 453.54</a:t>
          </a:fld>
          <a:endParaRPr lang="en-US" sz="2000" b="1">
            <a:solidFill>
              <a:schemeClr val="accent2">
                <a:lumMod val="50000"/>
              </a:schemeClr>
            </a:solidFill>
            <a:latin typeface="Aptos" panose="020B0004020202020204" pitchFamily="34" charset="0"/>
          </a:endParaRPr>
        </a:p>
      </xdr:txBody>
    </xdr:sp>
    <xdr:clientData/>
  </xdr:twoCellAnchor>
  <xdr:oneCellAnchor>
    <xdr:from>
      <xdr:col>11</xdr:col>
      <xdr:colOff>38100</xdr:colOff>
      <xdr:row>0</xdr:row>
      <xdr:rowOff>38100</xdr:rowOff>
    </xdr:from>
    <xdr:ext cx="1620000" cy="900000"/>
    <mc:AlternateContent xmlns:mc="http://schemas.openxmlformats.org/markup-compatibility/2006">
      <mc:Choice xmlns:a14="http://schemas.microsoft.com/office/drawing/2010/main" Requires="a14">
        <xdr:graphicFrame macro="">
          <xdr:nvGraphicFramePr>
            <xdr:cNvPr id="49" name="City">
              <a:extLst>
                <a:ext uri="{FF2B5EF4-FFF2-40B4-BE49-F238E27FC236}">
                  <a16:creationId xmlns:a16="http://schemas.microsoft.com/office/drawing/2014/main" id="{8FFFF6AD-16F3-4DC4-B65D-3852FEFA75C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7414260" y="38100"/>
              <a:ext cx="1620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12</xdr:col>
      <xdr:colOff>480060</xdr:colOff>
      <xdr:row>0</xdr:row>
      <xdr:rowOff>38100</xdr:rowOff>
    </xdr:from>
    <xdr:ext cx="1620000" cy="900000"/>
    <mc:AlternateContent xmlns:mc="http://schemas.openxmlformats.org/markup-compatibility/2006">
      <mc:Choice xmlns:a14="http://schemas.microsoft.com/office/drawing/2010/main" Requires="a14">
        <xdr:graphicFrame macro="">
          <xdr:nvGraphicFramePr>
            <xdr:cNvPr id="50" name="Category">
              <a:extLst>
                <a:ext uri="{FF2B5EF4-FFF2-40B4-BE49-F238E27FC236}">
                  <a16:creationId xmlns:a16="http://schemas.microsoft.com/office/drawing/2014/main" id="{075C1602-EB84-4EB9-8839-7A357EF649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052560" y="38100"/>
              <a:ext cx="1620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15</xdr:col>
      <xdr:colOff>106680</xdr:colOff>
      <xdr:row>0</xdr:row>
      <xdr:rowOff>38100</xdr:rowOff>
    </xdr:from>
    <xdr:ext cx="1620000" cy="900000"/>
    <mc:AlternateContent xmlns:mc="http://schemas.openxmlformats.org/markup-compatibility/2006">
      <mc:Choice xmlns:a14="http://schemas.microsoft.com/office/drawing/2010/main" Requires="a14">
        <xdr:graphicFrame macro="">
          <xdr:nvGraphicFramePr>
            <xdr:cNvPr id="51" name="Payment_Method">
              <a:extLst>
                <a:ext uri="{FF2B5EF4-FFF2-40B4-BE49-F238E27FC236}">
                  <a16:creationId xmlns:a16="http://schemas.microsoft.com/office/drawing/2014/main" id="{D7B10B2B-3152-4BB8-B882-2E514DC0332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0690860" y="38100"/>
              <a:ext cx="1620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17</xdr:col>
      <xdr:colOff>403860</xdr:colOff>
      <xdr:row>0</xdr:row>
      <xdr:rowOff>38100</xdr:rowOff>
    </xdr:from>
    <xdr:ext cx="1620000" cy="900000"/>
    <mc:AlternateContent xmlns:mc="http://schemas.openxmlformats.org/markup-compatibility/2006">
      <mc:Choice xmlns:a14="http://schemas.microsoft.com/office/drawing/2010/main" Requires="a14">
        <xdr:graphicFrame macro="">
          <xdr:nvGraphicFramePr>
            <xdr:cNvPr id="52" name="Months">
              <a:extLst>
                <a:ext uri="{FF2B5EF4-FFF2-40B4-BE49-F238E27FC236}">
                  <a16:creationId xmlns:a16="http://schemas.microsoft.com/office/drawing/2014/main" id="{DF099793-EF8E-443C-811D-1EF101D37A2A}"/>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12329160" y="38100"/>
              <a:ext cx="1620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ksha naik" refreshedDate="46225.738326851853" createdVersion="8" refreshedVersion="8" minRefreshableVersion="3" recordCount="1000" xr:uid="{FB6CB091-22D8-4BEF-B559-16D33FB9AE3D}">
  <cacheSource type="worksheet">
    <worksheetSource name="tblCoffeeSales"/>
  </cacheSource>
  <cacheFields count="17">
    <cacheField name="Order_ID" numFmtId="0">
      <sharedItems count="10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 v="ORD0101"/>
        <s v="ORD0102"/>
        <s v="ORD0103"/>
        <s v="ORD0104"/>
        <s v="ORD0105"/>
        <s v="ORD0106"/>
        <s v="ORD0107"/>
        <s v="ORD0108"/>
        <s v="ORD0109"/>
        <s v="ORD0110"/>
        <s v="ORD0111"/>
        <s v="ORD0112"/>
        <s v="ORD0113"/>
        <s v="ORD0114"/>
        <s v="ORD0115"/>
        <s v="ORD0116"/>
        <s v="ORD0117"/>
        <s v="ORD0118"/>
        <s v="ORD0119"/>
        <s v="ORD0120"/>
        <s v="ORD0121"/>
        <s v="ORD0122"/>
        <s v="ORD0123"/>
        <s v="ORD0124"/>
        <s v="ORD0125"/>
        <s v="ORD0126"/>
        <s v="ORD0127"/>
        <s v="ORD0128"/>
        <s v="ORD0129"/>
        <s v="ORD0130"/>
        <s v="ORD0131"/>
        <s v="ORD0132"/>
        <s v="ORD0133"/>
        <s v="ORD0134"/>
        <s v="ORD0135"/>
        <s v="ORD0136"/>
        <s v="ORD0137"/>
        <s v="ORD0138"/>
        <s v="ORD0139"/>
        <s v="ORD0140"/>
        <s v="ORD0141"/>
        <s v="ORD0142"/>
        <s v="ORD0143"/>
        <s v="ORD0144"/>
        <s v="ORD0145"/>
        <s v="ORD0146"/>
        <s v="ORD0147"/>
        <s v="ORD0148"/>
        <s v="ORD0149"/>
        <s v="ORD0150"/>
        <s v="ORD0151"/>
        <s v="ORD0152"/>
        <s v="ORD0153"/>
        <s v="ORD0154"/>
        <s v="ORD0155"/>
        <s v="ORD0156"/>
        <s v="ORD0157"/>
        <s v="ORD0158"/>
        <s v="ORD0159"/>
        <s v="ORD0160"/>
        <s v="ORD0161"/>
        <s v="ORD0162"/>
        <s v="ORD0163"/>
        <s v="ORD0164"/>
        <s v="ORD0165"/>
        <s v="ORD0166"/>
        <s v="ORD0167"/>
        <s v="ORD0168"/>
        <s v="ORD0169"/>
        <s v="ORD0170"/>
        <s v="ORD0171"/>
        <s v="ORD0172"/>
        <s v="ORD0173"/>
        <s v="ORD0174"/>
        <s v="ORD0175"/>
        <s v="ORD0176"/>
        <s v="ORD0177"/>
        <s v="ORD0178"/>
        <s v="ORD0179"/>
        <s v="ORD0180"/>
        <s v="ORD0181"/>
        <s v="ORD0182"/>
        <s v="ORD0183"/>
        <s v="ORD0184"/>
        <s v="ORD0185"/>
        <s v="ORD0186"/>
        <s v="ORD0187"/>
        <s v="ORD0188"/>
        <s v="ORD0189"/>
        <s v="ORD0190"/>
        <s v="ORD0191"/>
        <s v="ORD0192"/>
        <s v="ORD0193"/>
        <s v="ORD0194"/>
        <s v="ORD0195"/>
        <s v="ORD0196"/>
        <s v="ORD0197"/>
        <s v="ORD0198"/>
        <s v="ORD0199"/>
        <s v="ORD0200"/>
        <s v="ORD0201"/>
        <s v="ORD0202"/>
        <s v="ORD0203"/>
        <s v="ORD0204"/>
        <s v="ORD0205"/>
        <s v="ORD0206"/>
        <s v="ORD0207"/>
        <s v="ORD0208"/>
        <s v="ORD0209"/>
        <s v="ORD0210"/>
        <s v="ORD0211"/>
        <s v="ORD0212"/>
        <s v="ORD0213"/>
        <s v="ORD0214"/>
        <s v="ORD0215"/>
        <s v="ORD0216"/>
        <s v="ORD0217"/>
        <s v="ORD0218"/>
        <s v="ORD0219"/>
        <s v="ORD0220"/>
        <s v="ORD0221"/>
        <s v="ORD0222"/>
        <s v="ORD0223"/>
        <s v="ORD0224"/>
        <s v="ORD0225"/>
        <s v="ORD0226"/>
        <s v="ORD0227"/>
        <s v="ORD0228"/>
        <s v="ORD0229"/>
        <s v="ORD0230"/>
        <s v="ORD0231"/>
        <s v="ORD0232"/>
        <s v="ORD0233"/>
        <s v="ORD0234"/>
        <s v="ORD0235"/>
        <s v="ORD0236"/>
        <s v="ORD0237"/>
        <s v="ORD0238"/>
        <s v="ORD0239"/>
        <s v="ORD0240"/>
        <s v="ORD0241"/>
        <s v="ORD0242"/>
        <s v="ORD0243"/>
        <s v="ORD0244"/>
        <s v="ORD0245"/>
        <s v="ORD0246"/>
        <s v="ORD0247"/>
        <s v="ORD0248"/>
        <s v="ORD0249"/>
        <s v="ORD0250"/>
        <s v="ORD0251"/>
        <s v="ORD0252"/>
        <s v="ORD0253"/>
        <s v="ORD0254"/>
        <s v="ORD0255"/>
        <s v="ORD0256"/>
        <s v="ORD0257"/>
        <s v="ORD0258"/>
        <s v="ORD0259"/>
        <s v="ORD0260"/>
        <s v="ORD0261"/>
        <s v="ORD0262"/>
        <s v="ORD0263"/>
        <s v="ORD0264"/>
        <s v="ORD0265"/>
        <s v="ORD0266"/>
        <s v="ORD0267"/>
        <s v="ORD0268"/>
        <s v="ORD0269"/>
        <s v="ORD0270"/>
        <s v="ORD0271"/>
        <s v="ORD0272"/>
        <s v="ORD0273"/>
        <s v="ORD0274"/>
        <s v="ORD0275"/>
        <s v="ORD0276"/>
        <s v="ORD0277"/>
        <s v="ORD0278"/>
        <s v="ORD0279"/>
        <s v="ORD0280"/>
        <s v="ORD0281"/>
        <s v="ORD0282"/>
        <s v="ORD0283"/>
        <s v="ORD0284"/>
        <s v="ORD0285"/>
        <s v="ORD0286"/>
        <s v="ORD0287"/>
        <s v="ORD0288"/>
        <s v="ORD0289"/>
        <s v="ORD0290"/>
        <s v="ORD0291"/>
        <s v="ORD0292"/>
        <s v="ORD0293"/>
        <s v="ORD0294"/>
        <s v="ORD0295"/>
        <s v="ORD0296"/>
        <s v="ORD0297"/>
        <s v="ORD0298"/>
        <s v="ORD0299"/>
        <s v="ORD0300"/>
        <s v="ORD0301"/>
        <s v="ORD0302"/>
        <s v="ORD0303"/>
        <s v="ORD0304"/>
        <s v="ORD0305"/>
        <s v="ORD0306"/>
        <s v="ORD0307"/>
        <s v="ORD0308"/>
        <s v="ORD0309"/>
        <s v="ORD0310"/>
        <s v="ORD0311"/>
        <s v="ORD0312"/>
        <s v="ORD0313"/>
        <s v="ORD0314"/>
        <s v="ORD0315"/>
        <s v="ORD0316"/>
        <s v="ORD0317"/>
        <s v="ORD0318"/>
        <s v="ORD0319"/>
        <s v="ORD0320"/>
        <s v="ORD0321"/>
        <s v="ORD0322"/>
        <s v="ORD0323"/>
        <s v="ORD0324"/>
        <s v="ORD0325"/>
        <s v="ORD0326"/>
        <s v="ORD0327"/>
        <s v="ORD0328"/>
        <s v="ORD0329"/>
        <s v="ORD0330"/>
        <s v="ORD0331"/>
        <s v="ORD0332"/>
        <s v="ORD0333"/>
        <s v="ORD0334"/>
        <s v="ORD0335"/>
        <s v="ORD0336"/>
        <s v="ORD0337"/>
        <s v="ORD0338"/>
        <s v="ORD0339"/>
        <s v="ORD0340"/>
        <s v="ORD0341"/>
        <s v="ORD0342"/>
        <s v="ORD0343"/>
        <s v="ORD0344"/>
        <s v="ORD0345"/>
        <s v="ORD0346"/>
        <s v="ORD0347"/>
        <s v="ORD0348"/>
        <s v="ORD0349"/>
        <s v="ORD0350"/>
        <s v="ORD0351"/>
        <s v="ORD0352"/>
        <s v="ORD0353"/>
        <s v="ORD0354"/>
        <s v="ORD0355"/>
        <s v="ORD0356"/>
        <s v="ORD0357"/>
        <s v="ORD0358"/>
        <s v="ORD0359"/>
        <s v="ORD0360"/>
        <s v="ORD0361"/>
        <s v="ORD0362"/>
        <s v="ORD0363"/>
        <s v="ORD0364"/>
        <s v="ORD0365"/>
        <s v="ORD0366"/>
        <s v="ORD0367"/>
        <s v="ORD0368"/>
        <s v="ORD0369"/>
        <s v="ORD0370"/>
        <s v="ORD0371"/>
        <s v="ORD0372"/>
        <s v="ORD0373"/>
        <s v="ORD0374"/>
        <s v="ORD0375"/>
        <s v="ORD0376"/>
        <s v="ORD0377"/>
        <s v="ORD0378"/>
        <s v="ORD0379"/>
        <s v="ORD0380"/>
        <s v="ORD0381"/>
        <s v="ORD0382"/>
        <s v="ORD0383"/>
        <s v="ORD0384"/>
        <s v="ORD0385"/>
        <s v="ORD0386"/>
        <s v="ORD0387"/>
        <s v="ORD0388"/>
        <s v="ORD0389"/>
        <s v="ORD0390"/>
        <s v="ORD0391"/>
        <s v="ORD0392"/>
        <s v="ORD0393"/>
        <s v="ORD0394"/>
        <s v="ORD0395"/>
        <s v="ORD0396"/>
        <s v="ORD0397"/>
        <s v="ORD0398"/>
        <s v="ORD0399"/>
        <s v="ORD0400"/>
        <s v="ORD0401"/>
        <s v="ORD0402"/>
        <s v="ORD0403"/>
        <s v="ORD0404"/>
        <s v="ORD0405"/>
        <s v="ORD0406"/>
        <s v="ORD0407"/>
        <s v="ORD0408"/>
        <s v="ORD0409"/>
        <s v="ORD0410"/>
        <s v="ORD0411"/>
        <s v="ORD0412"/>
        <s v="ORD0413"/>
        <s v="ORD0414"/>
        <s v="ORD0415"/>
        <s v="ORD0416"/>
        <s v="ORD0417"/>
        <s v="ORD0418"/>
        <s v="ORD0419"/>
        <s v="ORD0420"/>
        <s v="ORD0421"/>
        <s v="ORD0422"/>
        <s v="ORD0423"/>
        <s v="ORD0424"/>
        <s v="ORD0425"/>
        <s v="ORD0426"/>
        <s v="ORD0427"/>
        <s v="ORD0428"/>
        <s v="ORD0429"/>
        <s v="ORD0430"/>
        <s v="ORD0431"/>
        <s v="ORD0432"/>
        <s v="ORD0433"/>
        <s v="ORD0434"/>
        <s v="ORD0435"/>
        <s v="ORD0436"/>
        <s v="ORD0437"/>
        <s v="ORD0438"/>
        <s v="ORD0439"/>
        <s v="ORD0440"/>
        <s v="ORD0441"/>
        <s v="ORD0442"/>
        <s v="ORD0443"/>
        <s v="ORD0444"/>
        <s v="ORD0445"/>
        <s v="ORD0446"/>
        <s v="ORD0447"/>
        <s v="ORD0448"/>
        <s v="ORD0449"/>
        <s v="ORD0450"/>
        <s v="ORD0451"/>
        <s v="ORD0452"/>
        <s v="ORD0453"/>
        <s v="ORD0454"/>
        <s v="ORD0455"/>
        <s v="ORD0456"/>
        <s v="ORD0457"/>
        <s v="ORD0458"/>
        <s v="ORD0459"/>
        <s v="ORD0460"/>
        <s v="ORD0461"/>
        <s v="ORD0462"/>
        <s v="ORD0463"/>
        <s v="ORD0464"/>
        <s v="ORD0465"/>
        <s v="ORD0466"/>
        <s v="ORD0467"/>
        <s v="ORD0468"/>
        <s v="ORD0469"/>
        <s v="ORD0470"/>
        <s v="ORD0471"/>
        <s v="ORD0472"/>
        <s v="ORD0473"/>
        <s v="ORD0474"/>
        <s v="ORD0475"/>
        <s v="ORD0476"/>
        <s v="ORD0477"/>
        <s v="ORD0478"/>
        <s v="ORD0479"/>
        <s v="ORD0480"/>
        <s v="ORD0481"/>
        <s v="ORD0482"/>
        <s v="ORD0483"/>
        <s v="ORD0484"/>
        <s v="ORD0485"/>
        <s v="ORD0486"/>
        <s v="ORD0487"/>
        <s v="ORD0488"/>
        <s v="ORD0489"/>
        <s v="ORD0490"/>
        <s v="ORD0491"/>
        <s v="ORD0492"/>
        <s v="ORD0493"/>
        <s v="ORD0494"/>
        <s v="ORD0495"/>
        <s v="ORD0496"/>
        <s v="ORD0497"/>
        <s v="ORD0498"/>
        <s v="ORD0499"/>
        <s v="ORD0500"/>
        <s v="ORD0501"/>
        <s v="ORD0502"/>
        <s v="ORD0503"/>
        <s v="ORD0504"/>
        <s v="ORD0505"/>
        <s v="ORD0506"/>
        <s v="ORD0507"/>
        <s v="ORD0508"/>
        <s v="ORD0509"/>
        <s v="ORD0510"/>
        <s v="ORD0511"/>
        <s v="ORD0512"/>
        <s v="ORD0513"/>
        <s v="ORD0514"/>
        <s v="ORD0515"/>
        <s v="ORD0516"/>
        <s v="ORD0517"/>
        <s v="ORD0518"/>
        <s v="ORD0519"/>
        <s v="ORD0520"/>
        <s v="ORD0521"/>
        <s v="ORD0522"/>
        <s v="ORD0523"/>
        <s v="ORD0524"/>
        <s v="ORD0525"/>
        <s v="ORD0526"/>
        <s v="ORD0527"/>
        <s v="ORD0528"/>
        <s v="ORD0529"/>
        <s v="ORD0530"/>
        <s v="ORD0531"/>
        <s v="ORD0532"/>
        <s v="ORD0533"/>
        <s v="ORD0534"/>
        <s v="ORD0535"/>
        <s v="ORD0536"/>
        <s v="ORD0537"/>
        <s v="ORD0538"/>
        <s v="ORD0539"/>
        <s v="ORD0540"/>
        <s v="ORD0541"/>
        <s v="ORD0542"/>
        <s v="ORD0543"/>
        <s v="ORD0544"/>
        <s v="ORD0545"/>
        <s v="ORD0546"/>
        <s v="ORD0547"/>
        <s v="ORD0548"/>
        <s v="ORD0549"/>
        <s v="ORD0550"/>
        <s v="ORD0551"/>
        <s v="ORD0552"/>
        <s v="ORD0553"/>
        <s v="ORD0554"/>
        <s v="ORD0555"/>
        <s v="ORD0556"/>
        <s v="ORD0557"/>
        <s v="ORD0558"/>
        <s v="ORD0559"/>
        <s v="ORD0560"/>
        <s v="ORD0561"/>
        <s v="ORD0562"/>
        <s v="ORD0563"/>
        <s v="ORD0564"/>
        <s v="ORD0565"/>
        <s v="ORD0566"/>
        <s v="ORD0567"/>
        <s v="ORD0568"/>
        <s v="ORD0569"/>
        <s v="ORD0570"/>
        <s v="ORD0571"/>
        <s v="ORD0572"/>
        <s v="ORD0573"/>
        <s v="ORD0574"/>
        <s v="ORD0575"/>
        <s v="ORD0576"/>
        <s v="ORD0577"/>
        <s v="ORD0578"/>
        <s v="ORD0579"/>
        <s v="ORD0580"/>
        <s v="ORD0581"/>
        <s v="ORD0582"/>
        <s v="ORD0583"/>
        <s v="ORD0584"/>
        <s v="ORD0585"/>
        <s v="ORD0586"/>
        <s v="ORD0587"/>
        <s v="ORD0588"/>
        <s v="ORD0589"/>
        <s v="ORD0590"/>
        <s v="ORD0591"/>
        <s v="ORD0592"/>
        <s v="ORD0593"/>
        <s v="ORD0594"/>
        <s v="ORD0595"/>
        <s v="ORD0596"/>
        <s v="ORD0597"/>
        <s v="ORD0598"/>
        <s v="ORD0599"/>
        <s v="ORD0600"/>
        <s v="ORD0601"/>
        <s v="ORD0602"/>
        <s v="ORD0603"/>
        <s v="ORD0604"/>
        <s v="ORD0605"/>
        <s v="ORD0606"/>
        <s v="ORD0607"/>
        <s v="ORD0608"/>
        <s v="ORD0609"/>
        <s v="ORD0610"/>
        <s v="ORD0611"/>
        <s v="ORD0612"/>
        <s v="ORD0613"/>
        <s v="ORD0614"/>
        <s v="ORD0615"/>
        <s v="ORD0616"/>
        <s v="ORD0617"/>
        <s v="ORD0618"/>
        <s v="ORD0619"/>
        <s v="ORD0620"/>
        <s v="ORD0621"/>
        <s v="ORD0622"/>
        <s v="ORD0623"/>
        <s v="ORD0624"/>
        <s v="ORD0625"/>
        <s v="ORD0626"/>
        <s v="ORD0627"/>
        <s v="ORD0628"/>
        <s v="ORD0629"/>
        <s v="ORD0630"/>
        <s v="ORD0631"/>
        <s v="ORD0632"/>
        <s v="ORD0633"/>
        <s v="ORD0634"/>
        <s v="ORD0635"/>
        <s v="ORD0636"/>
        <s v="ORD0637"/>
        <s v="ORD0638"/>
        <s v="ORD0639"/>
        <s v="ORD0640"/>
        <s v="ORD0641"/>
        <s v="ORD0642"/>
        <s v="ORD0643"/>
        <s v="ORD0644"/>
        <s v="ORD0645"/>
        <s v="ORD0646"/>
        <s v="ORD0647"/>
        <s v="ORD0648"/>
        <s v="ORD0649"/>
        <s v="ORD0650"/>
        <s v="ORD0651"/>
        <s v="ORD0652"/>
        <s v="ORD0653"/>
        <s v="ORD0654"/>
        <s v="ORD0655"/>
        <s v="ORD0656"/>
        <s v="ORD0657"/>
        <s v="ORD0658"/>
        <s v="ORD0659"/>
        <s v="ORD0660"/>
        <s v="ORD0661"/>
        <s v="ORD0662"/>
        <s v="ORD0663"/>
        <s v="ORD0664"/>
        <s v="ORD0665"/>
        <s v="ORD0666"/>
        <s v="ORD0667"/>
        <s v="ORD0668"/>
        <s v="ORD0669"/>
        <s v="ORD0670"/>
        <s v="ORD0671"/>
        <s v="ORD0672"/>
        <s v="ORD0673"/>
        <s v="ORD0674"/>
        <s v="ORD0675"/>
        <s v="ORD0676"/>
        <s v="ORD0677"/>
        <s v="ORD0678"/>
        <s v="ORD0679"/>
        <s v="ORD0680"/>
        <s v="ORD0681"/>
        <s v="ORD0682"/>
        <s v="ORD0683"/>
        <s v="ORD0684"/>
        <s v="ORD0685"/>
        <s v="ORD0686"/>
        <s v="ORD0687"/>
        <s v="ORD0688"/>
        <s v="ORD0689"/>
        <s v="ORD0690"/>
        <s v="ORD0691"/>
        <s v="ORD0692"/>
        <s v="ORD0693"/>
        <s v="ORD0694"/>
        <s v="ORD0695"/>
        <s v="ORD0696"/>
        <s v="ORD0697"/>
        <s v="ORD0698"/>
        <s v="ORD0699"/>
        <s v="ORD0700"/>
        <s v="ORD0701"/>
        <s v="ORD0702"/>
        <s v="ORD0703"/>
        <s v="ORD0704"/>
        <s v="ORD0705"/>
        <s v="ORD0706"/>
        <s v="ORD0707"/>
        <s v="ORD0708"/>
        <s v="ORD0709"/>
        <s v="ORD0710"/>
        <s v="ORD0711"/>
        <s v="ORD0712"/>
        <s v="ORD0713"/>
        <s v="ORD0714"/>
        <s v="ORD0715"/>
        <s v="ORD0716"/>
        <s v="ORD0717"/>
        <s v="ORD0718"/>
        <s v="ORD0719"/>
        <s v="ORD0720"/>
        <s v="ORD0721"/>
        <s v="ORD0722"/>
        <s v="ORD0723"/>
        <s v="ORD0724"/>
        <s v="ORD0725"/>
        <s v="ORD0726"/>
        <s v="ORD0727"/>
        <s v="ORD0728"/>
        <s v="ORD0729"/>
        <s v="ORD0730"/>
        <s v="ORD0731"/>
        <s v="ORD0732"/>
        <s v="ORD0733"/>
        <s v="ORD0734"/>
        <s v="ORD0735"/>
        <s v="ORD0736"/>
        <s v="ORD0737"/>
        <s v="ORD0738"/>
        <s v="ORD0739"/>
        <s v="ORD0740"/>
        <s v="ORD0741"/>
        <s v="ORD0742"/>
        <s v="ORD0743"/>
        <s v="ORD0744"/>
        <s v="ORD0745"/>
        <s v="ORD0746"/>
        <s v="ORD0747"/>
        <s v="ORD0748"/>
        <s v="ORD0749"/>
        <s v="ORD0750"/>
        <s v="ORD0751"/>
        <s v="ORD0752"/>
        <s v="ORD0753"/>
        <s v="ORD0754"/>
        <s v="ORD0755"/>
        <s v="ORD0756"/>
        <s v="ORD0757"/>
        <s v="ORD0758"/>
        <s v="ORD0759"/>
        <s v="ORD0760"/>
        <s v="ORD0761"/>
        <s v="ORD0762"/>
        <s v="ORD0763"/>
        <s v="ORD0764"/>
        <s v="ORD0765"/>
        <s v="ORD0766"/>
        <s v="ORD0767"/>
        <s v="ORD0768"/>
        <s v="ORD0769"/>
        <s v="ORD0770"/>
        <s v="ORD0771"/>
        <s v="ORD0772"/>
        <s v="ORD0773"/>
        <s v="ORD0774"/>
        <s v="ORD0775"/>
        <s v="ORD0776"/>
        <s v="ORD0777"/>
        <s v="ORD0778"/>
        <s v="ORD0779"/>
        <s v="ORD0780"/>
        <s v="ORD0781"/>
        <s v="ORD0782"/>
        <s v="ORD0783"/>
        <s v="ORD0784"/>
        <s v="ORD0785"/>
        <s v="ORD0786"/>
        <s v="ORD0787"/>
        <s v="ORD0788"/>
        <s v="ORD0789"/>
        <s v="ORD0790"/>
        <s v="ORD0791"/>
        <s v="ORD0792"/>
        <s v="ORD0793"/>
        <s v="ORD0794"/>
        <s v="ORD0795"/>
        <s v="ORD0796"/>
        <s v="ORD0797"/>
        <s v="ORD0798"/>
        <s v="ORD0799"/>
        <s v="ORD0800"/>
        <s v="ORD0801"/>
        <s v="ORD0802"/>
        <s v="ORD0803"/>
        <s v="ORD0804"/>
        <s v="ORD0805"/>
        <s v="ORD0806"/>
        <s v="ORD0807"/>
        <s v="ORD0808"/>
        <s v="ORD0809"/>
        <s v="ORD0810"/>
        <s v="ORD0811"/>
        <s v="ORD0812"/>
        <s v="ORD0813"/>
        <s v="ORD0814"/>
        <s v="ORD0815"/>
        <s v="ORD0816"/>
        <s v="ORD0817"/>
        <s v="ORD0818"/>
        <s v="ORD0819"/>
        <s v="ORD0820"/>
        <s v="ORD0821"/>
        <s v="ORD0822"/>
        <s v="ORD0823"/>
        <s v="ORD0824"/>
        <s v="ORD0825"/>
        <s v="ORD0826"/>
        <s v="ORD0827"/>
        <s v="ORD0828"/>
        <s v="ORD0829"/>
        <s v="ORD0830"/>
        <s v="ORD0831"/>
        <s v="ORD0832"/>
        <s v="ORD0833"/>
        <s v="ORD0834"/>
        <s v="ORD0835"/>
        <s v="ORD0836"/>
        <s v="ORD0837"/>
        <s v="ORD0838"/>
        <s v="ORD0839"/>
        <s v="ORD0840"/>
        <s v="ORD0841"/>
        <s v="ORD0842"/>
        <s v="ORD0843"/>
        <s v="ORD0844"/>
        <s v="ORD0845"/>
        <s v="ORD0846"/>
        <s v="ORD0847"/>
        <s v="ORD0848"/>
        <s v="ORD0849"/>
        <s v="ORD0850"/>
        <s v="ORD0851"/>
        <s v="ORD0852"/>
        <s v="ORD0853"/>
        <s v="ORD0854"/>
        <s v="ORD0855"/>
        <s v="ORD0856"/>
        <s v="ORD0857"/>
        <s v="ORD0858"/>
        <s v="ORD0859"/>
        <s v="ORD0860"/>
        <s v="ORD0861"/>
        <s v="ORD0862"/>
        <s v="ORD0863"/>
        <s v="ORD0864"/>
        <s v="ORD0865"/>
        <s v="ORD0866"/>
        <s v="ORD0867"/>
        <s v="ORD0868"/>
        <s v="ORD0869"/>
        <s v="ORD0870"/>
        <s v="ORD0871"/>
        <s v="ORD0872"/>
        <s v="ORD0873"/>
        <s v="ORD0874"/>
        <s v="ORD0875"/>
        <s v="ORD0876"/>
        <s v="ORD0877"/>
        <s v="ORD0878"/>
        <s v="ORD0879"/>
        <s v="ORD0880"/>
        <s v="ORD0881"/>
        <s v="ORD0882"/>
        <s v="ORD0883"/>
        <s v="ORD0884"/>
        <s v="ORD0885"/>
        <s v="ORD0886"/>
        <s v="ORD0887"/>
        <s v="ORD0888"/>
        <s v="ORD0889"/>
        <s v="ORD0890"/>
        <s v="ORD0891"/>
        <s v="ORD0892"/>
        <s v="ORD0893"/>
        <s v="ORD0894"/>
        <s v="ORD0895"/>
        <s v="ORD0896"/>
        <s v="ORD0897"/>
        <s v="ORD0898"/>
        <s v="ORD0899"/>
        <s v="ORD0900"/>
        <s v="ORD0901"/>
        <s v="ORD0902"/>
        <s v="ORD0903"/>
        <s v="ORD0904"/>
        <s v="ORD0905"/>
        <s v="ORD0906"/>
        <s v="ORD0907"/>
        <s v="ORD0908"/>
        <s v="ORD0909"/>
        <s v="ORD0910"/>
        <s v="ORD0911"/>
        <s v="ORD0912"/>
        <s v="ORD0913"/>
        <s v="ORD0914"/>
        <s v="ORD0915"/>
        <s v="ORD0916"/>
        <s v="ORD0917"/>
        <s v="ORD0918"/>
        <s v="ORD0919"/>
        <s v="ORD0920"/>
        <s v="ORD0921"/>
        <s v="ORD0922"/>
        <s v="ORD0923"/>
        <s v="ORD0924"/>
        <s v="ORD0925"/>
        <s v="ORD0926"/>
        <s v="ORD0927"/>
        <s v="ORD0928"/>
        <s v="ORD0929"/>
        <s v="ORD0930"/>
        <s v="ORD0931"/>
        <s v="ORD0932"/>
        <s v="ORD0933"/>
        <s v="ORD0934"/>
        <s v="ORD0935"/>
        <s v="ORD0936"/>
        <s v="ORD0937"/>
        <s v="ORD0938"/>
        <s v="ORD0939"/>
        <s v="ORD0940"/>
        <s v="ORD0941"/>
        <s v="ORD0942"/>
        <s v="ORD0943"/>
        <s v="ORD0944"/>
        <s v="ORD0945"/>
        <s v="ORD0946"/>
        <s v="ORD0947"/>
        <s v="ORD0948"/>
        <s v="ORD0949"/>
        <s v="ORD0950"/>
        <s v="ORD0951"/>
        <s v="ORD0952"/>
        <s v="ORD0953"/>
        <s v="ORD0954"/>
        <s v="ORD0955"/>
        <s v="ORD0956"/>
        <s v="ORD0957"/>
        <s v="ORD0958"/>
        <s v="ORD0959"/>
        <s v="ORD0960"/>
        <s v="ORD0961"/>
        <s v="ORD0962"/>
        <s v="ORD0963"/>
        <s v="ORD0964"/>
        <s v="ORD0965"/>
        <s v="ORD0966"/>
        <s v="ORD0967"/>
        <s v="ORD0968"/>
        <s v="ORD0969"/>
        <s v="ORD0970"/>
        <s v="ORD0971"/>
        <s v="ORD0972"/>
        <s v="ORD0973"/>
        <s v="ORD0974"/>
        <s v="ORD0975"/>
        <s v="ORD0976"/>
        <s v="ORD0977"/>
        <s v="ORD0978"/>
        <s v="ORD0979"/>
        <s v="ORD0980"/>
        <s v="ORD0981"/>
        <s v="ORD0982"/>
        <s v="ORD0983"/>
        <s v="ORD0984"/>
        <s v="ORD0985"/>
        <s v="ORD0986"/>
        <s v="ORD0987"/>
        <s v="ORD0988"/>
        <s v="ORD0989"/>
        <s v="ORD0990"/>
        <s v="ORD0991"/>
        <s v="ORD0992"/>
        <s v="ORD0993"/>
        <s v="ORD0994"/>
        <s v="ORD0995"/>
        <s v="ORD0996"/>
        <s v="ORD0997"/>
        <s v="ORD0998"/>
        <s v="ORD0999"/>
        <s v="ORD1000"/>
      </sharedItems>
    </cacheField>
    <cacheField name="Order_Date" numFmtId="14">
      <sharedItems containsSemiMixedTypes="0" containsNonDate="0" containsDate="1" containsString="0" minDate="2026-01-01T00:00:00" maxDate="2026-12-29T00:00:00" count="315">
        <d v="2026-11-17T00:00:00"/>
        <d v="2026-12-27T00:00:00"/>
        <d v="2026-10-01T00:00:00"/>
        <d v="2026-03-16T00:00:00"/>
        <d v="2026-12-11T00:00:00"/>
        <d v="2026-09-21T00:00:00"/>
        <d v="2026-05-18T00:00:00"/>
        <d v="2026-10-18T00:00:00"/>
        <d v="2026-07-06T00:00:00"/>
        <d v="2026-01-07T00:00:00"/>
        <d v="2026-09-27T00:00:00"/>
        <d v="2026-03-02T00:00:00"/>
        <d v="2026-10-28T00:00:00"/>
        <d v="2026-02-21T00:00:00"/>
        <d v="2026-10-08T00:00:00"/>
        <d v="2026-01-05T00:00:00"/>
        <d v="2026-04-25T00:00:00"/>
        <d v="2026-07-24T00:00:00"/>
        <d v="2026-10-10T00:00:00"/>
        <d v="2026-04-27T00:00:00"/>
        <d v="2026-12-16T00:00:00"/>
        <d v="2026-03-24T00:00:00"/>
        <d v="2026-02-17T00:00:00"/>
        <d v="2026-04-17T00:00:00"/>
        <d v="2026-07-05T00:00:00"/>
        <d v="2026-07-21T00:00:00"/>
        <d v="2026-12-19T00:00:00"/>
        <d v="2026-05-10T00:00:00"/>
        <d v="2026-03-14T00:00:00"/>
        <d v="2026-11-18T00:00:00"/>
        <d v="2026-08-04T00:00:00"/>
        <d v="2026-09-12T00:00:00"/>
        <d v="2026-09-19T00:00:00"/>
        <d v="2026-04-02T00:00:00"/>
        <d v="2026-01-13T00:00:00"/>
        <d v="2026-05-22T00:00:00"/>
        <d v="2026-12-21T00:00:00"/>
        <d v="2026-01-20T00:00:00"/>
        <d v="2026-12-07T00:00:00"/>
        <d v="2026-06-08T00:00:00"/>
        <d v="2026-01-06T00:00:00"/>
        <d v="2026-04-26T00:00:00"/>
        <d v="2026-12-10T00:00:00"/>
        <d v="2026-11-02T00:00:00"/>
        <d v="2026-10-19T00:00:00"/>
        <d v="2026-09-23T00:00:00"/>
        <d v="2026-10-11T00:00:00"/>
        <d v="2026-01-17T00:00:00"/>
        <d v="2026-04-01T00:00:00"/>
        <d v="2026-08-12T00:00:00"/>
        <d v="2026-12-12T00:00:00"/>
        <d v="2026-02-26T00:00:00"/>
        <d v="2026-02-04T00:00:00"/>
        <d v="2026-04-12T00:00:00"/>
        <d v="2026-09-01T00:00:00"/>
        <d v="2026-03-04T00:00:00"/>
        <d v="2026-07-02T00:00:00"/>
        <d v="2026-11-13T00:00:00"/>
        <d v="2026-04-24T00:00:00"/>
        <d v="2026-11-05T00:00:00"/>
        <d v="2026-12-15T00:00:00"/>
        <d v="2026-05-15T00:00:00"/>
        <d v="2026-10-24T00:00:00"/>
        <d v="2026-05-23T00:00:00"/>
        <d v="2026-11-28T00:00:00"/>
        <d v="2026-10-26T00:00:00"/>
        <d v="2026-03-22T00:00:00"/>
        <d v="2026-02-20T00:00:00"/>
        <d v="2026-11-12T00:00:00"/>
        <d v="2026-02-16T00:00:00"/>
        <d v="2026-07-17T00:00:00"/>
        <d v="2026-11-16T00:00:00"/>
        <d v="2026-10-12T00:00:00"/>
        <d v="2026-10-25T00:00:00"/>
        <d v="2026-09-05T00:00:00"/>
        <d v="2026-02-05T00:00:00"/>
        <d v="2026-03-17T00:00:00"/>
        <d v="2026-08-21T00:00:00"/>
        <d v="2026-05-04T00:00:00"/>
        <d v="2026-07-25T00:00:00"/>
        <d v="2026-10-07T00:00:00"/>
        <d v="2026-08-22T00:00:00"/>
        <d v="2026-12-17T00:00:00"/>
        <d v="2026-10-22T00:00:00"/>
        <d v="2026-11-23T00:00:00"/>
        <d v="2026-05-26T00:00:00"/>
        <d v="2026-10-03T00:00:00"/>
        <d v="2026-11-09T00:00:00"/>
        <d v="2026-09-08T00:00:00"/>
        <d v="2026-05-08T00:00:00"/>
        <d v="2026-10-16T00:00:00"/>
        <d v="2026-01-02T00:00:00"/>
        <d v="2026-06-22T00:00:00"/>
        <d v="2026-10-27T00:00:00"/>
        <d v="2026-08-11T00:00:00"/>
        <d v="2026-09-09T00:00:00"/>
        <d v="2026-09-20T00:00:00"/>
        <d v="2026-05-21T00:00:00"/>
        <d v="2026-06-01T00:00:00"/>
        <d v="2026-10-04T00:00:00"/>
        <d v="2026-04-04T00:00:00"/>
        <d v="2026-04-20T00:00:00"/>
        <d v="2026-05-01T00:00:00"/>
        <d v="2026-11-04T00:00:00"/>
        <d v="2026-06-25T00:00:00"/>
        <d v="2026-01-15T00:00:00"/>
        <d v="2026-05-09T00:00:00"/>
        <d v="2026-11-06T00:00:00"/>
        <d v="2026-12-04T00:00:00"/>
        <d v="2026-07-13T00:00:00"/>
        <d v="2026-12-22T00:00:00"/>
        <d v="2026-02-28T00:00:00"/>
        <d v="2026-12-06T00:00:00"/>
        <d v="2026-01-28T00:00:00"/>
        <d v="2026-03-15T00:00:00"/>
        <d v="2026-09-15T00:00:00"/>
        <d v="2026-01-08T00:00:00"/>
        <d v="2026-04-21T00:00:00"/>
        <d v="2026-04-07T00:00:00"/>
        <d v="2026-06-05T00:00:00"/>
        <d v="2026-12-26T00:00:00"/>
        <d v="2026-08-02T00:00:00"/>
        <d v="2026-05-11T00:00:00"/>
        <d v="2026-12-18T00:00:00"/>
        <d v="2026-02-10T00:00:00"/>
        <d v="2026-06-09T00:00:00"/>
        <d v="2026-01-25T00:00:00"/>
        <d v="2026-10-02T00:00:00"/>
        <d v="2026-07-23T00:00:00"/>
        <d v="2026-06-02T00:00:00"/>
        <d v="2026-01-22T00:00:00"/>
        <d v="2026-06-28T00:00:00"/>
        <d v="2026-03-23T00:00:00"/>
        <d v="2026-02-25T00:00:00"/>
        <d v="2026-12-14T00:00:00"/>
        <d v="2026-12-28T00:00:00"/>
        <d v="2026-03-01T00:00:00"/>
        <d v="2026-01-14T00:00:00"/>
        <d v="2026-01-11T00:00:00"/>
        <d v="2026-11-14T00:00:00"/>
        <d v="2026-02-01T00:00:00"/>
        <d v="2026-05-27T00:00:00"/>
        <d v="2026-03-18T00:00:00"/>
        <d v="2026-07-12T00:00:00"/>
        <d v="2026-07-15T00:00:00"/>
        <d v="2026-09-06T00:00:00"/>
        <d v="2026-05-03T00:00:00"/>
        <d v="2026-04-22T00:00:00"/>
        <d v="2026-06-10T00:00:00"/>
        <d v="2026-10-13T00:00:00"/>
        <d v="2026-07-28T00:00:00"/>
        <d v="2026-09-26T00:00:00"/>
        <d v="2026-05-07T00:00:00"/>
        <d v="2026-07-10T00:00:00"/>
        <d v="2026-03-10T00:00:00"/>
        <d v="2026-06-04T00:00:00"/>
        <d v="2026-05-13T00:00:00"/>
        <d v="2026-10-17T00:00:00"/>
        <d v="2026-05-20T00:00:00"/>
        <d v="2026-05-05T00:00:00"/>
        <d v="2026-02-15T00:00:00"/>
        <d v="2026-06-12T00:00:00"/>
        <d v="2026-01-16T00:00:00"/>
        <d v="2026-09-04T00:00:00"/>
        <d v="2026-07-26T00:00:00"/>
        <d v="2026-04-23T00:00:00"/>
        <d v="2026-04-10T00:00:00"/>
        <d v="2026-06-23T00:00:00"/>
        <d v="2026-08-06T00:00:00"/>
        <d v="2026-02-13T00:00:00"/>
        <d v="2026-11-07T00:00:00"/>
        <d v="2026-08-08T00:00:00"/>
        <d v="2026-08-26T00:00:00"/>
        <d v="2026-07-20T00:00:00"/>
        <d v="2026-02-22T00:00:00"/>
        <d v="2026-09-24T00:00:00"/>
        <d v="2026-07-09T00:00:00"/>
        <d v="2026-02-11T00:00:00"/>
        <d v="2026-12-24T00:00:00"/>
        <d v="2026-07-11T00:00:00"/>
        <d v="2026-09-02T00:00:00"/>
        <d v="2026-11-20T00:00:00"/>
        <d v="2026-03-26T00:00:00"/>
        <d v="2026-08-09T00:00:00"/>
        <d v="2026-11-01T00:00:00"/>
        <d v="2026-03-20T00:00:00"/>
        <d v="2026-11-10T00:00:00"/>
        <d v="2026-10-05T00:00:00"/>
        <d v="2026-02-27T00:00:00"/>
        <d v="2026-04-28T00:00:00"/>
        <d v="2026-09-13T00:00:00"/>
        <d v="2026-08-07T00:00:00"/>
        <d v="2026-06-18T00:00:00"/>
        <d v="2026-08-18T00:00:00"/>
        <d v="2026-05-12T00:00:00"/>
        <d v="2026-05-06T00:00:00"/>
        <d v="2026-01-01T00:00:00"/>
        <d v="2026-07-08T00:00:00"/>
        <d v="2026-01-18T00:00:00"/>
        <d v="2026-01-19T00:00:00"/>
        <d v="2026-04-18T00:00:00"/>
        <d v="2026-10-15T00:00:00"/>
        <d v="2026-09-28T00:00:00"/>
        <d v="2026-09-14T00:00:00"/>
        <d v="2026-08-03T00:00:00"/>
        <d v="2026-05-19T00:00:00"/>
        <d v="2026-11-21T00:00:00"/>
        <d v="2026-12-09T00:00:00"/>
        <d v="2026-10-20T00:00:00"/>
        <d v="2026-06-14T00:00:00"/>
        <d v="2026-07-27T00:00:00"/>
        <d v="2026-04-06T00:00:00"/>
        <d v="2026-11-22T00:00:00"/>
        <d v="2026-03-12T00:00:00"/>
        <d v="2026-04-08T00:00:00"/>
        <d v="2026-11-03T00:00:00"/>
        <d v="2026-03-28T00:00:00"/>
        <d v="2026-01-10T00:00:00"/>
        <d v="2026-01-27T00:00:00"/>
        <d v="2026-05-25T00:00:00"/>
        <d v="2026-02-03T00:00:00"/>
        <d v="2026-04-14T00:00:00"/>
        <d v="2026-11-08T00:00:00"/>
        <d v="2026-12-23T00:00:00"/>
        <d v="2026-08-01T00:00:00"/>
        <d v="2026-08-19T00:00:00"/>
        <d v="2026-09-10T00:00:00"/>
        <d v="2026-08-28T00:00:00"/>
        <d v="2026-06-13T00:00:00"/>
        <d v="2026-11-19T00:00:00"/>
        <d v="2026-06-21T00:00:00"/>
        <d v="2026-03-06T00:00:00"/>
        <d v="2026-06-06T00:00:00"/>
        <d v="2026-12-25T00:00:00"/>
        <d v="2026-12-03T00:00:00"/>
        <d v="2026-06-07T00:00:00"/>
        <d v="2026-07-04T00:00:00"/>
        <d v="2026-08-25T00:00:00"/>
        <d v="2026-01-23T00:00:00"/>
        <d v="2026-12-02T00:00:00"/>
        <d v="2026-08-15T00:00:00"/>
        <d v="2026-08-23T00:00:00"/>
        <d v="2026-04-03T00:00:00"/>
        <d v="2026-10-06T00:00:00"/>
        <d v="2026-10-09T00:00:00"/>
        <d v="2026-12-08T00:00:00"/>
        <d v="2026-11-25T00:00:00"/>
        <d v="2026-07-14T00:00:00"/>
        <d v="2026-02-14T00:00:00"/>
        <d v="2026-05-16T00:00:00"/>
        <d v="2026-11-11T00:00:00"/>
        <d v="2026-08-05T00:00:00"/>
        <d v="2026-04-11T00:00:00"/>
        <d v="2026-02-19T00:00:00"/>
        <d v="2026-03-09T00:00:00"/>
        <d v="2026-06-17T00:00:00"/>
        <d v="2026-01-04T00:00:00"/>
        <d v="2026-09-18T00:00:00"/>
        <d v="2026-05-28T00:00:00"/>
        <d v="2026-03-11T00:00:00"/>
        <d v="2026-06-19T00:00:00"/>
        <d v="2026-12-05T00:00:00"/>
        <d v="2026-07-01T00:00:00"/>
        <d v="2026-06-24T00:00:00"/>
        <d v="2026-09-11T00:00:00"/>
        <d v="2026-12-01T00:00:00"/>
        <d v="2026-01-09T00:00:00"/>
        <d v="2026-03-27T00:00:00"/>
        <d v="2026-09-03T00:00:00"/>
        <d v="2026-06-11T00:00:00"/>
        <d v="2026-03-03T00:00:00"/>
        <d v="2026-11-15T00:00:00"/>
        <d v="2026-10-23T00:00:00"/>
        <d v="2026-02-12T00:00:00"/>
        <d v="2026-02-09T00:00:00"/>
        <d v="2026-12-13T00:00:00"/>
        <d v="2026-03-07T00:00:00"/>
        <d v="2026-07-19T00:00:00"/>
        <d v="2026-08-20T00:00:00"/>
        <d v="2026-01-26T00:00:00"/>
        <d v="2026-01-21T00:00:00"/>
        <d v="2026-09-17T00:00:00"/>
        <d v="2026-08-13T00:00:00"/>
        <d v="2026-04-15T00:00:00"/>
        <d v="2026-01-03T00:00:00"/>
        <d v="2026-06-03T00:00:00"/>
        <d v="2026-07-16T00:00:00"/>
        <d v="2026-04-09T00:00:00"/>
        <d v="2026-07-22T00:00:00"/>
        <d v="2026-06-26T00:00:00"/>
        <d v="2026-08-10T00:00:00"/>
        <d v="2026-05-02T00:00:00"/>
        <d v="2026-09-22T00:00:00"/>
        <d v="2026-04-05T00:00:00"/>
        <d v="2026-08-17T00:00:00"/>
        <d v="2026-06-15T00:00:00"/>
        <d v="2026-03-05T00:00:00"/>
        <d v="2026-02-24T00:00:00"/>
        <d v="2026-08-27T00:00:00"/>
        <d v="2026-06-16T00:00:00"/>
        <d v="2026-04-19T00:00:00"/>
        <d v="2026-12-20T00:00:00"/>
        <d v="2026-06-20T00:00:00"/>
        <d v="2026-04-16T00:00:00"/>
        <d v="2026-03-19T00:00:00"/>
        <d v="2026-07-07T00:00:00"/>
        <d v="2026-03-25T00:00:00"/>
        <d v="2026-03-13T00:00:00"/>
        <d v="2026-09-25T00:00:00"/>
        <d v="2026-01-12T00:00:00"/>
        <d v="2026-11-27T00:00:00"/>
        <d v="2026-07-18T00:00:00"/>
        <d v="2026-02-07T00:00:00"/>
        <d v="2026-03-08T00:00:00"/>
        <d v="2026-02-02T00:00:00"/>
      </sharedItems>
      <fieldGroup par="16"/>
    </cacheField>
    <cacheField name="Customer_Name" numFmtId="0">
      <sharedItems/>
    </cacheField>
    <cacheField name="City" numFmtId="0">
      <sharedItems count="10">
        <s v="Chennai"/>
        <s v="Hyderabad"/>
        <s v="Ahmedabad"/>
        <s v="Goa"/>
        <s v="Pune"/>
        <s v="Kolkata"/>
        <s v="Delhi"/>
        <s v="Jaipur"/>
        <s v="Bengaluru"/>
        <s v="Mumbai"/>
      </sharedItems>
    </cacheField>
    <cacheField name="Product" numFmtId="0">
      <sharedItems count="20">
        <s v="Cheesecake"/>
        <s v="Green Tea"/>
        <s v="Blueberry Muffin"/>
        <s v="Cappuccino"/>
        <s v="French Fries"/>
        <s v="Chicken Sandwich"/>
        <s v="Donut"/>
        <s v="Americano"/>
        <s v="Iced Latte"/>
        <s v="Black Tea"/>
        <s v="Cold Coffee"/>
        <s v="Latte"/>
        <s v="Garlic Bread"/>
        <s v="Croissant"/>
        <s v="Chocolate Brownie"/>
        <s v="Mocha"/>
        <s v="Espresso"/>
        <s v="Veg Sandwich"/>
        <s v="Hot Chocolate"/>
        <s v="Cookie"/>
      </sharedItems>
    </cacheField>
    <cacheField name="Category" numFmtId="0">
      <sharedItems count="7">
        <s v="Dessert"/>
        <s v="Tea"/>
        <s v="Bakery"/>
        <s v="Coffee"/>
        <s v="Snacks"/>
        <s v="Cold Beverage"/>
        <s v="Beverage"/>
      </sharedItems>
    </cacheField>
    <cacheField name="Quantity" numFmtId="0">
      <sharedItems containsSemiMixedTypes="0" containsString="0" containsNumber="1" containsInteger="1" minValue="1" maxValue="5"/>
    </cacheField>
    <cacheField name="Unit_Price" numFmtId="166">
      <sharedItems containsSemiMixedTypes="0" containsString="0" containsNumber="1" containsInteger="1" minValue="80" maxValue="240"/>
    </cacheField>
    <cacheField name="Cost_Price" numFmtId="166">
      <sharedItems containsSemiMixedTypes="0" containsString="0" containsNumber="1" containsInteger="1" minValue="40" maxValue="120"/>
    </cacheField>
    <cacheField name="Discount" numFmtId="166">
      <sharedItems containsSemiMixedTypes="0" containsString="0" containsNumber="1" containsInteger="1" minValue="0" maxValue="50"/>
    </cacheField>
    <cacheField name="Total_Sales" numFmtId="166">
      <sharedItems containsSemiMixedTypes="0" containsString="0" containsNumber="1" containsInteger="1" minValue="32" maxValue="1200"/>
    </cacheField>
    <cacheField name="Profit" numFmtId="166">
      <sharedItems containsSemiMixedTypes="0" containsString="0" containsNumber="1" containsInteger="1" minValue="-8" maxValue="600"/>
    </cacheField>
    <cacheField name="Payment_Method" numFmtId="0">
      <sharedItems count="5">
        <s v="UPI"/>
        <s v="Credit Card"/>
        <s v="Wallet"/>
        <s v="Debit Card"/>
        <s v="Cash"/>
      </sharedItems>
    </cacheField>
    <cacheField name="Order_Type" numFmtId="0">
      <sharedItems/>
    </cacheField>
    <cacheField name="Salesperson" numFmtId="0">
      <sharedItems count="10">
        <s v="Rahul"/>
        <s v="Sneha"/>
        <s v="Vikram"/>
        <s v="Rohan"/>
        <s v="Pooja"/>
        <s v="Aarav"/>
        <s v="Neha"/>
        <s v="Ananya"/>
        <s v="Karan"/>
        <s v="Priya"/>
      </sharedItems>
    </cacheField>
    <cacheField name="Customer_Rating" numFmtId="0">
      <sharedItems containsSemiMixedTypes="0" containsString="0" containsNumber="1" containsInteger="1" minValue="3" maxValue="5" count="3">
        <n v="4"/>
        <n v="3"/>
        <n v="5"/>
      </sharedItems>
    </cacheField>
    <cacheField name="Months (Order_Date)" numFmtId="0" databaseField="0">
      <fieldGroup base="1">
        <rangePr groupBy="months" startDate="2026-01-01T00:00:00" endDate="2026-12-29T00:00:00"/>
        <groupItems count="14">
          <s v="&lt;01-01-2026"/>
          <s v="Jan"/>
          <s v="Feb"/>
          <s v="Mar"/>
          <s v="Apr"/>
          <s v="May"/>
          <s v="Jun"/>
          <s v="Jul"/>
          <s v="Aug"/>
          <s v="Sep"/>
          <s v="Oct"/>
          <s v="Nov"/>
          <s v="Dec"/>
          <s v="&gt;29-12-2026"/>
        </groupItems>
      </fieldGroup>
    </cacheField>
  </cacheFields>
  <extLst>
    <ext xmlns:x14="http://schemas.microsoft.com/office/spreadsheetml/2009/9/main" uri="{725AE2AE-9491-48be-B2B4-4EB974FC3084}">
      <x14:pivotCacheDefinition pivotCacheId="13942994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Aditya Kumar"/>
    <x v="0"/>
    <x v="0"/>
    <x v="0"/>
    <n v="2"/>
    <n v="240"/>
    <n v="120"/>
    <n v="18"/>
    <n v="462"/>
    <n v="222"/>
    <x v="0"/>
    <s v="Delivery"/>
    <x v="0"/>
    <x v="0"/>
  </r>
  <r>
    <x v="1"/>
    <x v="1"/>
    <s v="Vikram Rao"/>
    <x v="1"/>
    <x v="1"/>
    <x v="1"/>
    <n v="2"/>
    <n v="140"/>
    <n v="70"/>
    <n v="24"/>
    <n v="256"/>
    <n v="116"/>
    <x v="1"/>
    <s v="Takeaway"/>
    <x v="1"/>
    <x v="0"/>
  </r>
  <r>
    <x v="2"/>
    <x v="2"/>
    <s v="Divya Shetty"/>
    <x v="1"/>
    <x v="2"/>
    <x v="2"/>
    <n v="1"/>
    <n v="110"/>
    <n v="55"/>
    <n v="24"/>
    <n v="86"/>
    <n v="31"/>
    <x v="2"/>
    <s v="Delivery"/>
    <x v="2"/>
    <x v="0"/>
  </r>
  <r>
    <x v="3"/>
    <x v="3"/>
    <s v="Simran Kaur"/>
    <x v="2"/>
    <x v="3"/>
    <x v="3"/>
    <n v="3"/>
    <n v="180"/>
    <n v="90"/>
    <n v="50"/>
    <n v="490"/>
    <n v="220"/>
    <x v="3"/>
    <s v="Dine-In"/>
    <x v="3"/>
    <x v="0"/>
  </r>
  <r>
    <x v="4"/>
    <x v="4"/>
    <s v="Priya Patel"/>
    <x v="3"/>
    <x v="3"/>
    <x v="3"/>
    <n v="1"/>
    <n v="180"/>
    <n v="90"/>
    <n v="6"/>
    <n v="174"/>
    <n v="84"/>
    <x v="1"/>
    <s v="Takeaway"/>
    <x v="4"/>
    <x v="1"/>
  </r>
  <r>
    <x v="5"/>
    <x v="5"/>
    <s v="Aman Mishra"/>
    <x v="4"/>
    <x v="4"/>
    <x v="4"/>
    <n v="2"/>
    <n v="160"/>
    <n v="80"/>
    <n v="5"/>
    <n v="315"/>
    <n v="155"/>
    <x v="3"/>
    <s v="Dine-In"/>
    <x v="2"/>
    <x v="2"/>
  </r>
  <r>
    <x v="6"/>
    <x v="6"/>
    <s v="Akash Naik"/>
    <x v="0"/>
    <x v="5"/>
    <x v="4"/>
    <n v="5"/>
    <n v="220"/>
    <n v="110"/>
    <n v="28"/>
    <n v="1072"/>
    <n v="522"/>
    <x v="1"/>
    <s v="Takeaway"/>
    <x v="3"/>
    <x v="0"/>
  </r>
  <r>
    <x v="7"/>
    <x v="7"/>
    <s v="Aditya Kumar"/>
    <x v="4"/>
    <x v="4"/>
    <x v="4"/>
    <n v="3"/>
    <n v="160"/>
    <n v="80"/>
    <n v="19"/>
    <n v="461"/>
    <n v="221"/>
    <x v="2"/>
    <s v="Takeaway"/>
    <x v="5"/>
    <x v="1"/>
  </r>
  <r>
    <x v="8"/>
    <x v="8"/>
    <s v="Pooja Kulkarni"/>
    <x v="4"/>
    <x v="6"/>
    <x v="0"/>
    <n v="3"/>
    <n v="100"/>
    <n v="50"/>
    <n v="33"/>
    <n v="267"/>
    <n v="117"/>
    <x v="0"/>
    <s v="Delivery"/>
    <x v="6"/>
    <x v="2"/>
  </r>
  <r>
    <x v="9"/>
    <x v="9"/>
    <s v="Meera Desai"/>
    <x v="0"/>
    <x v="7"/>
    <x v="3"/>
    <n v="1"/>
    <n v="150"/>
    <n v="75"/>
    <n v="45"/>
    <n v="105"/>
    <n v="30"/>
    <x v="3"/>
    <s v="Takeaway"/>
    <x v="2"/>
    <x v="0"/>
  </r>
  <r>
    <x v="10"/>
    <x v="10"/>
    <s v="Pooja Kulkarni"/>
    <x v="5"/>
    <x v="7"/>
    <x v="3"/>
    <n v="1"/>
    <n v="150"/>
    <n v="75"/>
    <n v="37"/>
    <n v="113"/>
    <n v="38"/>
    <x v="3"/>
    <s v="Dine-In"/>
    <x v="5"/>
    <x v="1"/>
  </r>
  <r>
    <x v="11"/>
    <x v="10"/>
    <s v="Aarav Sharma"/>
    <x v="4"/>
    <x v="0"/>
    <x v="0"/>
    <n v="5"/>
    <n v="240"/>
    <n v="120"/>
    <n v="3"/>
    <n v="1197"/>
    <n v="597"/>
    <x v="1"/>
    <s v="Dine-In"/>
    <x v="4"/>
    <x v="1"/>
  </r>
  <r>
    <x v="12"/>
    <x v="11"/>
    <s v="Ishita Roy"/>
    <x v="6"/>
    <x v="3"/>
    <x v="3"/>
    <n v="3"/>
    <n v="180"/>
    <n v="90"/>
    <n v="43"/>
    <n v="497"/>
    <n v="227"/>
    <x v="1"/>
    <s v="Dine-In"/>
    <x v="4"/>
    <x v="0"/>
  </r>
  <r>
    <x v="13"/>
    <x v="12"/>
    <s v="Akash Naik"/>
    <x v="4"/>
    <x v="8"/>
    <x v="5"/>
    <n v="5"/>
    <n v="210"/>
    <n v="105"/>
    <n v="22"/>
    <n v="1028"/>
    <n v="503"/>
    <x v="3"/>
    <s v="Takeaway"/>
    <x v="5"/>
    <x v="2"/>
  </r>
  <r>
    <x v="14"/>
    <x v="13"/>
    <s v="Ishita Roy"/>
    <x v="7"/>
    <x v="9"/>
    <x v="1"/>
    <n v="3"/>
    <n v="120"/>
    <n v="60"/>
    <n v="1"/>
    <n v="359"/>
    <n v="179"/>
    <x v="4"/>
    <s v="Delivery"/>
    <x v="7"/>
    <x v="1"/>
  </r>
  <r>
    <x v="15"/>
    <x v="14"/>
    <s v="Rahul Verma"/>
    <x v="3"/>
    <x v="6"/>
    <x v="0"/>
    <n v="1"/>
    <n v="100"/>
    <n v="50"/>
    <n v="36"/>
    <n v="64"/>
    <n v="14"/>
    <x v="0"/>
    <s v="Dine-In"/>
    <x v="0"/>
    <x v="0"/>
  </r>
  <r>
    <x v="16"/>
    <x v="15"/>
    <s v="Ananya Singh"/>
    <x v="1"/>
    <x v="3"/>
    <x v="3"/>
    <n v="1"/>
    <n v="180"/>
    <n v="90"/>
    <n v="12"/>
    <n v="168"/>
    <n v="78"/>
    <x v="2"/>
    <s v="Dine-In"/>
    <x v="7"/>
    <x v="0"/>
  </r>
  <r>
    <x v="17"/>
    <x v="16"/>
    <s v="Arjun Reddy"/>
    <x v="6"/>
    <x v="10"/>
    <x v="5"/>
    <n v="2"/>
    <n v="190"/>
    <n v="95"/>
    <n v="40"/>
    <n v="340"/>
    <n v="150"/>
    <x v="3"/>
    <s v="Delivery"/>
    <x v="5"/>
    <x v="0"/>
  </r>
  <r>
    <x v="18"/>
    <x v="17"/>
    <s v="Divya Shetty"/>
    <x v="3"/>
    <x v="4"/>
    <x v="4"/>
    <n v="2"/>
    <n v="160"/>
    <n v="80"/>
    <n v="33"/>
    <n v="287"/>
    <n v="127"/>
    <x v="3"/>
    <s v="Takeaway"/>
    <x v="8"/>
    <x v="2"/>
  </r>
  <r>
    <x v="19"/>
    <x v="18"/>
    <s v="Akash Naik"/>
    <x v="7"/>
    <x v="11"/>
    <x v="3"/>
    <n v="1"/>
    <n v="200"/>
    <n v="100"/>
    <n v="48"/>
    <n v="152"/>
    <n v="52"/>
    <x v="1"/>
    <s v="Dine-In"/>
    <x v="1"/>
    <x v="0"/>
  </r>
  <r>
    <x v="20"/>
    <x v="9"/>
    <s v="Shruti Rao"/>
    <x v="6"/>
    <x v="12"/>
    <x v="4"/>
    <n v="2"/>
    <n v="170"/>
    <n v="85"/>
    <n v="17"/>
    <n v="323"/>
    <n v="153"/>
    <x v="0"/>
    <s v="Takeaway"/>
    <x v="4"/>
    <x v="1"/>
  </r>
  <r>
    <x v="21"/>
    <x v="19"/>
    <s v="Karan Joshi"/>
    <x v="6"/>
    <x v="0"/>
    <x v="0"/>
    <n v="5"/>
    <n v="240"/>
    <n v="120"/>
    <n v="1"/>
    <n v="1199"/>
    <n v="599"/>
    <x v="1"/>
    <s v="Delivery"/>
    <x v="0"/>
    <x v="1"/>
  </r>
  <r>
    <x v="22"/>
    <x v="20"/>
    <s v="Pooja Kulkarni"/>
    <x v="8"/>
    <x v="4"/>
    <x v="4"/>
    <n v="1"/>
    <n v="160"/>
    <n v="80"/>
    <n v="32"/>
    <n v="128"/>
    <n v="48"/>
    <x v="3"/>
    <s v="Dine-In"/>
    <x v="7"/>
    <x v="0"/>
  </r>
  <r>
    <x v="23"/>
    <x v="21"/>
    <s v="Siddharth Jain"/>
    <x v="0"/>
    <x v="13"/>
    <x v="2"/>
    <n v="3"/>
    <n v="150"/>
    <n v="75"/>
    <n v="48"/>
    <n v="402"/>
    <n v="177"/>
    <x v="1"/>
    <s v="Dine-In"/>
    <x v="0"/>
    <x v="0"/>
  </r>
  <r>
    <x v="24"/>
    <x v="22"/>
    <s v="Tanvi Bhat"/>
    <x v="3"/>
    <x v="10"/>
    <x v="5"/>
    <n v="1"/>
    <n v="190"/>
    <n v="95"/>
    <n v="0"/>
    <n v="190"/>
    <n v="95"/>
    <x v="2"/>
    <s v="Dine-In"/>
    <x v="1"/>
    <x v="0"/>
  </r>
  <r>
    <x v="25"/>
    <x v="23"/>
    <s v="Akash Naik"/>
    <x v="6"/>
    <x v="14"/>
    <x v="2"/>
    <n v="4"/>
    <n v="130"/>
    <n v="65"/>
    <n v="34"/>
    <n v="486"/>
    <n v="226"/>
    <x v="4"/>
    <s v="Delivery"/>
    <x v="7"/>
    <x v="0"/>
  </r>
  <r>
    <x v="26"/>
    <x v="24"/>
    <s v="Harsh Vyas"/>
    <x v="4"/>
    <x v="15"/>
    <x v="3"/>
    <n v="2"/>
    <n v="220"/>
    <n v="110"/>
    <n v="11"/>
    <n v="429"/>
    <n v="209"/>
    <x v="3"/>
    <s v="Takeaway"/>
    <x v="8"/>
    <x v="0"/>
  </r>
  <r>
    <x v="27"/>
    <x v="25"/>
    <s v="Tanvi Bhat"/>
    <x v="6"/>
    <x v="5"/>
    <x v="4"/>
    <n v="4"/>
    <n v="220"/>
    <n v="110"/>
    <n v="30"/>
    <n v="850"/>
    <n v="410"/>
    <x v="4"/>
    <s v="Takeaway"/>
    <x v="5"/>
    <x v="0"/>
  </r>
  <r>
    <x v="28"/>
    <x v="15"/>
    <s v="Manish Yadav"/>
    <x v="8"/>
    <x v="16"/>
    <x v="3"/>
    <n v="1"/>
    <n v="120"/>
    <n v="60"/>
    <n v="11"/>
    <n v="109"/>
    <n v="49"/>
    <x v="0"/>
    <s v="Takeaway"/>
    <x v="6"/>
    <x v="0"/>
  </r>
  <r>
    <x v="29"/>
    <x v="26"/>
    <s v="Karan Joshi"/>
    <x v="0"/>
    <x v="6"/>
    <x v="0"/>
    <n v="5"/>
    <n v="100"/>
    <n v="50"/>
    <n v="35"/>
    <n v="465"/>
    <n v="215"/>
    <x v="0"/>
    <s v="Dine-In"/>
    <x v="4"/>
    <x v="0"/>
  </r>
  <r>
    <x v="30"/>
    <x v="27"/>
    <s v="Arjun Reddy"/>
    <x v="9"/>
    <x v="6"/>
    <x v="0"/>
    <n v="2"/>
    <n v="100"/>
    <n v="50"/>
    <n v="38"/>
    <n v="162"/>
    <n v="62"/>
    <x v="3"/>
    <s v="Dine-In"/>
    <x v="9"/>
    <x v="2"/>
  </r>
  <r>
    <x v="31"/>
    <x v="15"/>
    <s v="Ritika Das"/>
    <x v="2"/>
    <x v="6"/>
    <x v="0"/>
    <n v="5"/>
    <n v="100"/>
    <n v="50"/>
    <n v="40"/>
    <n v="460"/>
    <n v="210"/>
    <x v="2"/>
    <s v="Delivery"/>
    <x v="0"/>
    <x v="0"/>
  </r>
  <r>
    <x v="32"/>
    <x v="28"/>
    <s v="Yash Patil"/>
    <x v="3"/>
    <x v="2"/>
    <x v="2"/>
    <n v="5"/>
    <n v="110"/>
    <n v="55"/>
    <n v="21"/>
    <n v="529"/>
    <n v="254"/>
    <x v="1"/>
    <s v="Takeaway"/>
    <x v="8"/>
    <x v="1"/>
  </r>
  <r>
    <x v="33"/>
    <x v="29"/>
    <s v="Ritika Das"/>
    <x v="0"/>
    <x v="15"/>
    <x v="3"/>
    <n v="5"/>
    <n v="220"/>
    <n v="110"/>
    <n v="40"/>
    <n v="1060"/>
    <n v="510"/>
    <x v="2"/>
    <s v="Dine-In"/>
    <x v="3"/>
    <x v="2"/>
  </r>
  <r>
    <x v="34"/>
    <x v="15"/>
    <s v="Ishita Roy"/>
    <x v="6"/>
    <x v="10"/>
    <x v="5"/>
    <n v="5"/>
    <n v="190"/>
    <n v="95"/>
    <n v="43"/>
    <n v="907"/>
    <n v="432"/>
    <x v="4"/>
    <s v="Delivery"/>
    <x v="0"/>
    <x v="1"/>
  </r>
  <r>
    <x v="35"/>
    <x v="30"/>
    <s v="Yash Patil"/>
    <x v="2"/>
    <x v="8"/>
    <x v="5"/>
    <n v="2"/>
    <n v="210"/>
    <n v="105"/>
    <n v="20"/>
    <n v="400"/>
    <n v="190"/>
    <x v="1"/>
    <s v="Dine-In"/>
    <x v="4"/>
    <x v="0"/>
  </r>
  <r>
    <x v="36"/>
    <x v="31"/>
    <s v="Tanvi Bhat"/>
    <x v="1"/>
    <x v="4"/>
    <x v="4"/>
    <n v="4"/>
    <n v="160"/>
    <n v="80"/>
    <n v="1"/>
    <n v="639"/>
    <n v="319"/>
    <x v="2"/>
    <s v="Takeaway"/>
    <x v="8"/>
    <x v="2"/>
  </r>
  <r>
    <x v="37"/>
    <x v="32"/>
    <s v="Priya Patel"/>
    <x v="6"/>
    <x v="2"/>
    <x v="2"/>
    <n v="1"/>
    <n v="110"/>
    <n v="55"/>
    <n v="0"/>
    <n v="110"/>
    <n v="55"/>
    <x v="1"/>
    <s v="Delivery"/>
    <x v="8"/>
    <x v="1"/>
  </r>
  <r>
    <x v="38"/>
    <x v="33"/>
    <s v="Ishita Roy"/>
    <x v="9"/>
    <x v="17"/>
    <x v="4"/>
    <n v="3"/>
    <n v="180"/>
    <n v="90"/>
    <n v="43"/>
    <n v="497"/>
    <n v="227"/>
    <x v="0"/>
    <s v="Delivery"/>
    <x v="8"/>
    <x v="2"/>
  </r>
  <r>
    <x v="39"/>
    <x v="34"/>
    <s v="Tanvi Bhat"/>
    <x v="2"/>
    <x v="5"/>
    <x v="4"/>
    <n v="3"/>
    <n v="220"/>
    <n v="110"/>
    <n v="25"/>
    <n v="635"/>
    <n v="305"/>
    <x v="0"/>
    <s v="Dine-In"/>
    <x v="1"/>
    <x v="2"/>
  </r>
  <r>
    <x v="40"/>
    <x v="35"/>
    <s v="Shruti Rao"/>
    <x v="8"/>
    <x v="16"/>
    <x v="3"/>
    <n v="1"/>
    <n v="120"/>
    <n v="60"/>
    <n v="21"/>
    <n v="99"/>
    <n v="39"/>
    <x v="4"/>
    <s v="Delivery"/>
    <x v="5"/>
    <x v="0"/>
  </r>
  <r>
    <x v="41"/>
    <x v="36"/>
    <s v="Ananya Singh"/>
    <x v="4"/>
    <x v="18"/>
    <x v="6"/>
    <n v="3"/>
    <n v="170"/>
    <n v="85"/>
    <n v="12"/>
    <n v="498"/>
    <n v="243"/>
    <x v="1"/>
    <s v="Delivery"/>
    <x v="8"/>
    <x v="1"/>
  </r>
  <r>
    <x v="42"/>
    <x v="37"/>
    <s v="Ananya Singh"/>
    <x v="7"/>
    <x v="15"/>
    <x v="3"/>
    <n v="4"/>
    <n v="220"/>
    <n v="110"/>
    <n v="18"/>
    <n v="862"/>
    <n v="422"/>
    <x v="2"/>
    <s v="Delivery"/>
    <x v="8"/>
    <x v="0"/>
  </r>
  <r>
    <x v="43"/>
    <x v="38"/>
    <s v="Mohit Agarwal"/>
    <x v="8"/>
    <x v="7"/>
    <x v="3"/>
    <n v="5"/>
    <n v="150"/>
    <n v="75"/>
    <n v="12"/>
    <n v="738"/>
    <n v="363"/>
    <x v="1"/>
    <s v="Delivery"/>
    <x v="7"/>
    <x v="0"/>
  </r>
  <r>
    <x v="44"/>
    <x v="39"/>
    <s v="Aditi Kapoor"/>
    <x v="6"/>
    <x v="1"/>
    <x v="1"/>
    <n v="1"/>
    <n v="140"/>
    <n v="70"/>
    <n v="12"/>
    <n v="128"/>
    <n v="58"/>
    <x v="0"/>
    <s v="Takeaway"/>
    <x v="4"/>
    <x v="0"/>
  </r>
  <r>
    <x v="45"/>
    <x v="40"/>
    <s v="Akash Naik"/>
    <x v="2"/>
    <x v="5"/>
    <x v="4"/>
    <n v="4"/>
    <n v="220"/>
    <n v="110"/>
    <n v="29"/>
    <n v="851"/>
    <n v="411"/>
    <x v="0"/>
    <s v="Takeaway"/>
    <x v="3"/>
    <x v="1"/>
  </r>
  <r>
    <x v="46"/>
    <x v="41"/>
    <s v="Divya Shetty"/>
    <x v="9"/>
    <x v="2"/>
    <x v="2"/>
    <n v="3"/>
    <n v="110"/>
    <n v="55"/>
    <n v="30"/>
    <n v="300"/>
    <n v="135"/>
    <x v="2"/>
    <s v="Delivery"/>
    <x v="7"/>
    <x v="2"/>
  </r>
  <r>
    <x v="47"/>
    <x v="42"/>
    <s v="Harsh Vyas"/>
    <x v="3"/>
    <x v="14"/>
    <x v="2"/>
    <n v="4"/>
    <n v="130"/>
    <n v="65"/>
    <n v="16"/>
    <n v="504"/>
    <n v="244"/>
    <x v="0"/>
    <s v="Takeaway"/>
    <x v="0"/>
    <x v="2"/>
  </r>
  <r>
    <x v="48"/>
    <x v="43"/>
    <s v="Pooja Kulkarni"/>
    <x v="7"/>
    <x v="15"/>
    <x v="3"/>
    <n v="1"/>
    <n v="220"/>
    <n v="110"/>
    <n v="19"/>
    <n v="201"/>
    <n v="91"/>
    <x v="4"/>
    <s v="Delivery"/>
    <x v="8"/>
    <x v="0"/>
  </r>
  <r>
    <x v="49"/>
    <x v="44"/>
    <s v="Pooja Kulkarni"/>
    <x v="5"/>
    <x v="12"/>
    <x v="4"/>
    <n v="3"/>
    <n v="170"/>
    <n v="85"/>
    <n v="15"/>
    <n v="495"/>
    <n v="240"/>
    <x v="3"/>
    <s v="Delivery"/>
    <x v="2"/>
    <x v="0"/>
  </r>
  <r>
    <x v="50"/>
    <x v="45"/>
    <s v="Divya Shetty"/>
    <x v="7"/>
    <x v="6"/>
    <x v="0"/>
    <n v="5"/>
    <n v="100"/>
    <n v="50"/>
    <n v="36"/>
    <n v="464"/>
    <n v="214"/>
    <x v="1"/>
    <s v="Delivery"/>
    <x v="7"/>
    <x v="1"/>
  </r>
  <r>
    <x v="51"/>
    <x v="46"/>
    <s v="Aditya Kumar"/>
    <x v="6"/>
    <x v="17"/>
    <x v="4"/>
    <n v="3"/>
    <n v="180"/>
    <n v="90"/>
    <n v="27"/>
    <n v="513"/>
    <n v="243"/>
    <x v="0"/>
    <s v="Takeaway"/>
    <x v="5"/>
    <x v="1"/>
  </r>
  <r>
    <x v="52"/>
    <x v="47"/>
    <s v="Simran Kaur"/>
    <x v="9"/>
    <x v="15"/>
    <x v="3"/>
    <n v="2"/>
    <n v="220"/>
    <n v="110"/>
    <n v="14"/>
    <n v="426"/>
    <n v="206"/>
    <x v="1"/>
    <s v="Dine-In"/>
    <x v="0"/>
    <x v="0"/>
  </r>
  <r>
    <x v="53"/>
    <x v="48"/>
    <s v="Priya Patel"/>
    <x v="1"/>
    <x v="3"/>
    <x v="3"/>
    <n v="2"/>
    <n v="180"/>
    <n v="90"/>
    <n v="4"/>
    <n v="356"/>
    <n v="176"/>
    <x v="2"/>
    <s v="Delivery"/>
    <x v="5"/>
    <x v="0"/>
  </r>
  <r>
    <x v="54"/>
    <x v="49"/>
    <s v="Aditi Kapoor"/>
    <x v="3"/>
    <x v="6"/>
    <x v="0"/>
    <n v="4"/>
    <n v="100"/>
    <n v="50"/>
    <n v="36"/>
    <n v="364"/>
    <n v="164"/>
    <x v="2"/>
    <s v="Dine-In"/>
    <x v="4"/>
    <x v="1"/>
  </r>
  <r>
    <x v="55"/>
    <x v="50"/>
    <s v="Shruti Rao"/>
    <x v="1"/>
    <x v="19"/>
    <x v="0"/>
    <n v="4"/>
    <n v="80"/>
    <n v="40"/>
    <n v="21"/>
    <n v="299"/>
    <n v="139"/>
    <x v="2"/>
    <s v="Dine-In"/>
    <x v="9"/>
    <x v="1"/>
  </r>
  <r>
    <x v="56"/>
    <x v="51"/>
    <s v="Aman Mishra"/>
    <x v="8"/>
    <x v="0"/>
    <x v="0"/>
    <n v="4"/>
    <n v="240"/>
    <n v="120"/>
    <n v="13"/>
    <n v="947"/>
    <n v="467"/>
    <x v="2"/>
    <s v="Delivery"/>
    <x v="8"/>
    <x v="1"/>
  </r>
  <r>
    <x v="57"/>
    <x v="52"/>
    <s v="Aditi Kapoor"/>
    <x v="5"/>
    <x v="19"/>
    <x v="0"/>
    <n v="5"/>
    <n v="80"/>
    <n v="40"/>
    <n v="15"/>
    <n v="385"/>
    <n v="185"/>
    <x v="1"/>
    <s v="Delivery"/>
    <x v="9"/>
    <x v="2"/>
  </r>
  <r>
    <x v="58"/>
    <x v="53"/>
    <s v="Akash Naik"/>
    <x v="3"/>
    <x v="15"/>
    <x v="3"/>
    <n v="3"/>
    <n v="220"/>
    <n v="110"/>
    <n v="27"/>
    <n v="633"/>
    <n v="303"/>
    <x v="4"/>
    <s v="Takeaway"/>
    <x v="6"/>
    <x v="1"/>
  </r>
  <r>
    <x v="59"/>
    <x v="54"/>
    <s v="Vivek Nair"/>
    <x v="0"/>
    <x v="13"/>
    <x v="2"/>
    <n v="4"/>
    <n v="150"/>
    <n v="75"/>
    <n v="12"/>
    <n v="588"/>
    <n v="288"/>
    <x v="0"/>
    <s v="Dine-In"/>
    <x v="5"/>
    <x v="2"/>
  </r>
  <r>
    <x v="60"/>
    <x v="55"/>
    <s v="Nisha Sharma"/>
    <x v="1"/>
    <x v="18"/>
    <x v="6"/>
    <n v="1"/>
    <n v="170"/>
    <n v="85"/>
    <n v="37"/>
    <n v="133"/>
    <n v="48"/>
    <x v="0"/>
    <s v="Dine-In"/>
    <x v="1"/>
    <x v="0"/>
  </r>
  <r>
    <x v="61"/>
    <x v="56"/>
    <s v="Simran Kaur"/>
    <x v="6"/>
    <x v="0"/>
    <x v="0"/>
    <n v="4"/>
    <n v="240"/>
    <n v="120"/>
    <n v="41"/>
    <n v="919"/>
    <n v="439"/>
    <x v="2"/>
    <s v="Dine-In"/>
    <x v="5"/>
    <x v="1"/>
  </r>
  <r>
    <x v="62"/>
    <x v="57"/>
    <s v="Harsh Vyas"/>
    <x v="8"/>
    <x v="8"/>
    <x v="5"/>
    <n v="4"/>
    <n v="210"/>
    <n v="105"/>
    <n v="11"/>
    <n v="829"/>
    <n v="409"/>
    <x v="4"/>
    <s v="Delivery"/>
    <x v="2"/>
    <x v="0"/>
  </r>
  <r>
    <x v="63"/>
    <x v="44"/>
    <s v="Kavya Iyer"/>
    <x v="7"/>
    <x v="15"/>
    <x v="3"/>
    <n v="2"/>
    <n v="220"/>
    <n v="110"/>
    <n v="43"/>
    <n v="397"/>
    <n v="177"/>
    <x v="3"/>
    <s v="Delivery"/>
    <x v="7"/>
    <x v="2"/>
  </r>
  <r>
    <x v="64"/>
    <x v="58"/>
    <s v="Ananya Singh"/>
    <x v="9"/>
    <x v="9"/>
    <x v="1"/>
    <n v="2"/>
    <n v="120"/>
    <n v="60"/>
    <n v="41"/>
    <n v="199"/>
    <n v="79"/>
    <x v="2"/>
    <s v="Dine-In"/>
    <x v="2"/>
    <x v="2"/>
  </r>
  <r>
    <x v="65"/>
    <x v="28"/>
    <s v="Sneha Nair"/>
    <x v="9"/>
    <x v="6"/>
    <x v="0"/>
    <n v="1"/>
    <n v="100"/>
    <n v="50"/>
    <n v="4"/>
    <n v="96"/>
    <n v="46"/>
    <x v="4"/>
    <s v="Dine-In"/>
    <x v="5"/>
    <x v="1"/>
  </r>
  <r>
    <x v="66"/>
    <x v="59"/>
    <s v="Mohit Agarwal"/>
    <x v="7"/>
    <x v="19"/>
    <x v="0"/>
    <n v="2"/>
    <n v="80"/>
    <n v="40"/>
    <n v="28"/>
    <n v="132"/>
    <n v="52"/>
    <x v="2"/>
    <s v="Delivery"/>
    <x v="5"/>
    <x v="1"/>
  </r>
  <r>
    <x v="67"/>
    <x v="60"/>
    <s v="Divya Shetty"/>
    <x v="3"/>
    <x v="4"/>
    <x v="4"/>
    <n v="4"/>
    <n v="160"/>
    <n v="80"/>
    <n v="8"/>
    <n v="632"/>
    <n v="312"/>
    <x v="0"/>
    <s v="Takeaway"/>
    <x v="5"/>
    <x v="0"/>
  </r>
  <r>
    <x v="68"/>
    <x v="44"/>
    <s v="Aditi Kapoor"/>
    <x v="5"/>
    <x v="2"/>
    <x v="2"/>
    <n v="3"/>
    <n v="110"/>
    <n v="55"/>
    <n v="48"/>
    <n v="282"/>
    <n v="117"/>
    <x v="3"/>
    <s v="Takeaway"/>
    <x v="9"/>
    <x v="0"/>
  </r>
  <r>
    <x v="69"/>
    <x v="61"/>
    <s v="Karan Joshi"/>
    <x v="1"/>
    <x v="12"/>
    <x v="4"/>
    <n v="4"/>
    <n v="170"/>
    <n v="85"/>
    <n v="18"/>
    <n v="662"/>
    <n v="322"/>
    <x v="1"/>
    <s v="Delivery"/>
    <x v="0"/>
    <x v="1"/>
  </r>
  <r>
    <x v="70"/>
    <x v="62"/>
    <s v="Harsh Vyas"/>
    <x v="7"/>
    <x v="1"/>
    <x v="1"/>
    <n v="5"/>
    <n v="140"/>
    <n v="70"/>
    <n v="31"/>
    <n v="669"/>
    <n v="319"/>
    <x v="0"/>
    <s v="Takeaway"/>
    <x v="2"/>
    <x v="0"/>
  </r>
  <r>
    <x v="71"/>
    <x v="63"/>
    <s v="Aditi Kapoor"/>
    <x v="2"/>
    <x v="10"/>
    <x v="5"/>
    <n v="1"/>
    <n v="190"/>
    <n v="95"/>
    <n v="30"/>
    <n v="160"/>
    <n v="65"/>
    <x v="2"/>
    <s v="Delivery"/>
    <x v="8"/>
    <x v="1"/>
  </r>
  <r>
    <x v="72"/>
    <x v="64"/>
    <s v="Meera Desai"/>
    <x v="7"/>
    <x v="3"/>
    <x v="3"/>
    <n v="1"/>
    <n v="180"/>
    <n v="90"/>
    <n v="39"/>
    <n v="141"/>
    <n v="51"/>
    <x v="1"/>
    <s v="Delivery"/>
    <x v="7"/>
    <x v="2"/>
  </r>
  <r>
    <x v="73"/>
    <x v="65"/>
    <s v="Arjun Reddy"/>
    <x v="5"/>
    <x v="11"/>
    <x v="3"/>
    <n v="3"/>
    <n v="200"/>
    <n v="100"/>
    <n v="40"/>
    <n v="560"/>
    <n v="260"/>
    <x v="3"/>
    <s v="Dine-In"/>
    <x v="7"/>
    <x v="0"/>
  </r>
  <r>
    <x v="74"/>
    <x v="66"/>
    <s v="Mohit Agarwal"/>
    <x v="6"/>
    <x v="10"/>
    <x v="5"/>
    <n v="1"/>
    <n v="190"/>
    <n v="95"/>
    <n v="30"/>
    <n v="160"/>
    <n v="65"/>
    <x v="1"/>
    <s v="Takeaway"/>
    <x v="4"/>
    <x v="2"/>
  </r>
  <r>
    <x v="75"/>
    <x v="67"/>
    <s v="Neha Gupta"/>
    <x v="9"/>
    <x v="7"/>
    <x v="3"/>
    <n v="4"/>
    <n v="150"/>
    <n v="75"/>
    <n v="36"/>
    <n v="564"/>
    <n v="264"/>
    <x v="1"/>
    <s v="Delivery"/>
    <x v="2"/>
    <x v="0"/>
  </r>
  <r>
    <x v="76"/>
    <x v="68"/>
    <s v="Vikram Rao"/>
    <x v="7"/>
    <x v="18"/>
    <x v="6"/>
    <n v="3"/>
    <n v="170"/>
    <n v="85"/>
    <n v="25"/>
    <n v="485"/>
    <n v="230"/>
    <x v="2"/>
    <s v="Dine-In"/>
    <x v="5"/>
    <x v="1"/>
  </r>
  <r>
    <x v="77"/>
    <x v="69"/>
    <s v="Arjun Reddy"/>
    <x v="7"/>
    <x v="6"/>
    <x v="0"/>
    <n v="4"/>
    <n v="100"/>
    <n v="50"/>
    <n v="17"/>
    <n v="383"/>
    <n v="183"/>
    <x v="1"/>
    <s v="Delivery"/>
    <x v="2"/>
    <x v="0"/>
  </r>
  <r>
    <x v="78"/>
    <x v="70"/>
    <s v="Aditi Kapoor"/>
    <x v="5"/>
    <x v="10"/>
    <x v="5"/>
    <n v="5"/>
    <n v="190"/>
    <n v="95"/>
    <n v="13"/>
    <n v="937"/>
    <n v="462"/>
    <x v="1"/>
    <s v="Delivery"/>
    <x v="8"/>
    <x v="0"/>
  </r>
  <r>
    <x v="79"/>
    <x v="71"/>
    <s v="Vivek Nair"/>
    <x v="9"/>
    <x v="1"/>
    <x v="1"/>
    <n v="4"/>
    <n v="140"/>
    <n v="70"/>
    <n v="12"/>
    <n v="548"/>
    <n v="268"/>
    <x v="1"/>
    <s v="Delivery"/>
    <x v="7"/>
    <x v="0"/>
  </r>
  <r>
    <x v="80"/>
    <x v="72"/>
    <s v="Ananya Singh"/>
    <x v="5"/>
    <x v="19"/>
    <x v="0"/>
    <n v="1"/>
    <n v="80"/>
    <n v="40"/>
    <n v="48"/>
    <n v="32"/>
    <n v="-8"/>
    <x v="2"/>
    <s v="Takeaway"/>
    <x v="1"/>
    <x v="2"/>
  </r>
  <r>
    <x v="81"/>
    <x v="73"/>
    <s v="Tanvi Bhat"/>
    <x v="7"/>
    <x v="8"/>
    <x v="5"/>
    <n v="2"/>
    <n v="210"/>
    <n v="105"/>
    <n v="42"/>
    <n v="378"/>
    <n v="168"/>
    <x v="4"/>
    <s v="Dine-In"/>
    <x v="5"/>
    <x v="1"/>
  </r>
  <r>
    <x v="82"/>
    <x v="70"/>
    <s v="Rahul Verma"/>
    <x v="7"/>
    <x v="10"/>
    <x v="5"/>
    <n v="2"/>
    <n v="190"/>
    <n v="95"/>
    <n v="35"/>
    <n v="345"/>
    <n v="155"/>
    <x v="4"/>
    <s v="Dine-In"/>
    <x v="9"/>
    <x v="1"/>
  </r>
  <r>
    <x v="83"/>
    <x v="74"/>
    <s v="Kavya Iyer"/>
    <x v="1"/>
    <x v="3"/>
    <x v="3"/>
    <n v="5"/>
    <n v="180"/>
    <n v="90"/>
    <n v="7"/>
    <n v="893"/>
    <n v="443"/>
    <x v="4"/>
    <s v="Takeaway"/>
    <x v="0"/>
    <x v="1"/>
  </r>
  <r>
    <x v="84"/>
    <x v="75"/>
    <s v="Vikram Rao"/>
    <x v="8"/>
    <x v="17"/>
    <x v="4"/>
    <n v="3"/>
    <n v="180"/>
    <n v="90"/>
    <n v="19"/>
    <n v="521"/>
    <n v="251"/>
    <x v="3"/>
    <s v="Takeaway"/>
    <x v="2"/>
    <x v="1"/>
  </r>
  <r>
    <x v="85"/>
    <x v="76"/>
    <s v="Ishita Roy"/>
    <x v="4"/>
    <x v="1"/>
    <x v="1"/>
    <n v="2"/>
    <n v="140"/>
    <n v="70"/>
    <n v="35"/>
    <n v="245"/>
    <n v="105"/>
    <x v="2"/>
    <s v="Delivery"/>
    <x v="9"/>
    <x v="2"/>
  </r>
  <r>
    <x v="86"/>
    <x v="9"/>
    <s v="Ishita Roy"/>
    <x v="0"/>
    <x v="17"/>
    <x v="4"/>
    <n v="5"/>
    <n v="180"/>
    <n v="90"/>
    <n v="40"/>
    <n v="860"/>
    <n v="410"/>
    <x v="0"/>
    <s v="Dine-In"/>
    <x v="3"/>
    <x v="0"/>
  </r>
  <r>
    <x v="87"/>
    <x v="77"/>
    <s v="Kavya Iyer"/>
    <x v="5"/>
    <x v="19"/>
    <x v="0"/>
    <n v="4"/>
    <n v="80"/>
    <n v="40"/>
    <n v="7"/>
    <n v="313"/>
    <n v="153"/>
    <x v="1"/>
    <s v="Delivery"/>
    <x v="1"/>
    <x v="1"/>
  </r>
  <r>
    <x v="88"/>
    <x v="67"/>
    <s v="Rahul Verma"/>
    <x v="8"/>
    <x v="18"/>
    <x v="6"/>
    <n v="1"/>
    <n v="170"/>
    <n v="85"/>
    <n v="32"/>
    <n v="138"/>
    <n v="53"/>
    <x v="3"/>
    <s v="Takeaway"/>
    <x v="4"/>
    <x v="0"/>
  </r>
  <r>
    <x v="89"/>
    <x v="78"/>
    <s v="Ishita Roy"/>
    <x v="0"/>
    <x v="10"/>
    <x v="5"/>
    <n v="4"/>
    <n v="190"/>
    <n v="95"/>
    <n v="49"/>
    <n v="711"/>
    <n v="331"/>
    <x v="4"/>
    <s v="Takeaway"/>
    <x v="8"/>
    <x v="1"/>
  </r>
  <r>
    <x v="90"/>
    <x v="2"/>
    <s v="Shruti Rao"/>
    <x v="0"/>
    <x v="2"/>
    <x v="2"/>
    <n v="3"/>
    <n v="110"/>
    <n v="55"/>
    <n v="26"/>
    <n v="304"/>
    <n v="139"/>
    <x v="2"/>
    <s v="Dine-In"/>
    <x v="4"/>
    <x v="1"/>
  </r>
  <r>
    <x v="91"/>
    <x v="79"/>
    <s v="Ritika Das"/>
    <x v="5"/>
    <x v="8"/>
    <x v="5"/>
    <n v="2"/>
    <n v="210"/>
    <n v="105"/>
    <n v="40"/>
    <n v="380"/>
    <n v="170"/>
    <x v="3"/>
    <s v="Takeaway"/>
    <x v="2"/>
    <x v="0"/>
  </r>
  <r>
    <x v="92"/>
    <x v="80"/>
    <s v="Ritika Das"/>
    <x v="5"/>
    <x v="3"/>
    <x v="3"/>
    <n v="1"/>
    <n v="180"/>
    <n v="90"/>
    <n v="16"/>
    <n v="164"/>
    <n v="74"/>
    <x v="0"/>
    <s v="Dine-In"/>
    <x v="7"/>
    <x v="0"/>
  </r>
  <r>
    <x v="93"/>
    <x v="7"/>
    <s v="Akash Naik"/>
    <x v="8"/>
    <x v="15"/>
    <x v="3"/>
    <n v="2"/>
    <n v="220"/>
    <n v="110"/>
    <n v="1"/>
    <n v="439"/>
    <n v="219"/>
    <x v="2"/>
    <s v="Takeaway"/>
    <x v="2"/>
    <x v="2"/>
  </r>
  <r>
    <x v="94"/>
    <x v="81"/>
    <s v="Kavya Iyer"/>
    <x v="6"/>
    <x v="5"/>
    <x v="4"/>
    <n v="2"/>
    <n v="220"/>
    <n v="110"/>
    <n v="45"/>
    <n v="395"/>
    <n v="175"/>
    <x v="3"/>
    <s v="Dine-In"/>
    <x v="3"/>
    <x v="2"/>
  </r>
  <r>
    <x v="95"/>
    <x v="82"/>
    <s v="Neha Gupta"/>
    <x v="6"/>
    <x v="12"/>
    <x v="4"/>
    <n v="2"/>
    <n v="170"/>
    <n v="85"/>
    <n v="35"/>
    <n v="305"/>
    <n v="135"/>
    <x v="0"/>
    <s v="Delivery"/>
    <x v="8"/>
    <x v="2"/>
  </r>
  <r>
    <x v="96"/>
    <x v="83"/>
    <s v="Ritika Das"/>
    <x v="9"/>
    <x v="12"/>
    <x v="4"/>
    <n v="5"/>
    <n v="170"/>
    <n v="85"/>
    <n v="19"/>
    <n v="831"/>
    <n v="406"/>
    <x v="3"/>
    <s v="Delivery"/>
    <x v="1"/>
    <x v="0"/>
  </r>
  <r>
    <x v="97"/>
    <x v="14"/>
    <s v="Ritika Das"/>
    <x v="5"/>
    <x v="8"/>
    <x v="5"/>
    <n v="2"/>
    <n v="210"/>
    <n v="105"/>
    <n v="7"/>
    <n v="413"/>
    <n v="203"/>
    <x v="2"/>
    <s v="Takeaway"/>
    <x v="5"/>
    <x v="1"/>
  </r>
  <r>
    <x v="98"/>
    <x v="84"/>
    <s v="Sneha Nair"/>
    <x v="1"/>
    <x v="16"/>
    <x v="3"/>
    <n v="1"/>
    <n v="120"/>
    <n v="60"/>
    <n v="19"/>
    <n v="101"/>
    <n v="41"/>
    <x v="1"/>
    <s v="Dine-In"/>
    <x v="1"/>
    <x v="2"/>
  </r>
  <r>
    <x v="99"/>
    <x v="50"/>
    <s v="Rahul Verma"/>
    <x v="7"/>
    <x v="12"/>
    <x v="4"/>
    <n v="3"/>
    <n v="170"/>
    <n v="85"/>
    <n v="38"/>
    <n v="472"/>
    <n v="217"/>
    <x v="1"/>
    <s v="Takeaway"/>
    <x v="1"/>
    <x v="2"/>
  </r>
  <r>
    <x v="100"/>
    <x v="85"/>
    <s v="Vivek Nair"/>
    <x v="9"/>
    <x v="6"/>
    <x v="0"/>
    <n v="5"/>
    <n v="100"/>
    <n v="50"/>
    <n v="23"/>
    <n v="477"/>
    <n v="227"/>
    <x v="2"/>
    <s v="Delivery"/>
    <x v="8"/>
    <x v="1"/>
  </r>
  <r>
    <x v="101"/>
    <x v="36"/>
    <s v="Manish Yadav"/>
    <x v="2"/>
    <x v="8"/>
    <x v="5"/>
    <n v="3"/>
    <n v="210"/>
    <n v="105"/>
    <n v="29"/>
    <n v="601"/>
    <n v="286"/>
    <x v="2"/>
    <s v="Takeaway"/>
    <x v="9"/>
    <x v="2"/>
  </r>
  <r>
    <x v="102"/>
    <x v="59"/>
    <s v="Sneha Nair"/>
    <x v="6"/>
    <x v="17"/>
    <x v="4"/>
    <n v="3"/>
    <n v="180"/>
    <n v="90"/>
    <n v="8"/>
    <n v="532"/>
    <n v="262"/>
    <x v="4"/>
    <s v="Delivery"/>
    <x v="8"/>
    <x v="1"/>
  </r>
  <r>
    <x v="103"/>
    <x v="86"/>
    <s v="Vikram Rao"/>
    <x v="1"/>
    <x v="15"/>
    <x v="3"/>
    <n v="3"/>
    <n v="220"/>
    <n v="110"/>
    <n v="42"/>
    <n v="618"/>
    <n v="288"/>
    <x v="4"/>
    <s v="Delivery"/>
    <x v="6"/>
    <x v="2"/>
  </r>
  <r>
    <x v="104"/>
    <x v="87"/>
    <s v="Rohan Mehta"/>
    <x v="9"/>
    <x v="2"/>
    <x v="2"/>
    <n v="1"/>
    <n v="110"/>
    <n v="55"/>
    <n v="25"/>
    <n v="85"/>
    <n v="30"/>
    <x v="2"/>
    <s v="Delivery"/>
    <x v="0"/>
    <x v="1"/>
  </r>
  <r>
    <x v="105"/>
    <x v="88"/>
    <s v="Kavya Iyer"/>
    <x v="2"/>
    <x v="15"/>
    <x v="3"/>
    <n v="3"/>
    <n v="220"/>
    <n v="110"/>
    <n v="27"/>
    <n v="633"/>
    <n v="303"/>
    <x v="3"/>
    <s v="Takeaway"/>
    <x v="4"/>
    <x v="0"/>
  </r>
  <r>
    <x v="106"/>
    <x v="89"/>
    <s v="Nisha Sharma"/>
    <x v="3"/>
    <x v="0"/>
    <x v="0"/>
    <n v="4"/>
    <n v="240"/>
    <n v="120"/>
    <n v="6"/>
    <n v="954"/>
    <n v="474"/>
    <x v="1"/>
    <s v="Takeaway"/>
    <x v="4"/>
    <x v="1"/>
  </r>
  <r>
    <x v="107"/>
    <x v="90"/>
    <s v="Shruti Rao"/>
    <x v="3"/>
    <x v="9"/>
    <x v="1"/>
    <n v="3"/>
    <n v="120"/>
    <n v="60"/>
    <n v="13"/>
    <n v="347"/>
    <n v="167"/>
    <x v="0"/>
    <s v="Dine-In"/>
    <x v="8"/>
    <x v="0"/>
  </r>
  <r>
    <x v="108"/>
    <x v="91"/>
    <s v="Meera Desai"/>
    <x v="9"/>
    <x v="11"/>
    <x v="3"/>
    <n v="2"/>
    <n v="200"/>
    <n v="100"/>
    <n v="35"/>
    <n v="365"/>
    <n v="165"/>
    <x v="2"/>
    <s v="Takeaway"/>
    <x v="2"/>
    <x v="0"/>
  </r>
  <r>
    <x v="109"/>
    <x v="92"/>
    <s v="Ishita Roy"/>
    <x v="3"/>
    <x v="13"/>
    <x v="2"/>
    <n v="5"/>
    <n v="150"/>
    <n v="75"/>
    <n v="11"/>
    <n v="739"/>
    <n v="364"/>
    <x v="1"/>
    <s v="Dine-In"/>
    <x v="6"/>
    <x v="2"/>
  </r>
  <r>
    <x v="110"/>
    <x v="93"/>
    <s v="Nisha Sharma"/>
    <x v="1"/>
    <x v="19"/>
    <x v="0"/>
    <n v="5"/>
    <n v="80"/>
    <n v="40"/>
    <n v="23"/>
    <n v="377"/>
    <n v="177"/>
    <x v="4"/>
    <s v="Dine-In"/>
    <x v="0"/>
    <x v="0"/>
  </r>
  <r>
    <x v="111"/>
    <x v="94"/>
    <s v="Kavya Iyer"/>
    <x v="6"/>
    <x v="16"/>
    <x v="3"/>
    <n v="5"/>
    <n v="120"/>
    <n v="60"/>
    <n v="30"/>
    <n v="570"/>
    <n v="270"/>
    <x v="0"/>
    <s v="Delivery"/>
    <x v="3"/>
    <x v="1"/>
  </r>
  <r>
    <x v="112"/>
    <x v="92"/>
    <s v="Rohan Mehta"/>
    <x v="2"/>
    <x v="15"/>
    <x v="3"/>
    <n v="2"/>
    <n v="220"/>
    <n v="110"/>
    <n v="19"/>
    <n v="421"/>
    <n v="201"/>
    <x v="3"/>
    <s v="Dine-In"/>
    <x v="9"/>
    <x v="0"/>
  </r>
  <r>
    <x v="113"/>
    <x v="95"/>
    <s v="Harsh Vyas"/>
    <x v="2"/>
    <x v="5"/>
    <x v="4"/>
    <n v="2"/>
    <n v="220"/>
    <n v="110"/>
    <n v="40"/>
    <n v="400"/>
    <n v="180"/>
    <x v="2"/>
    <s v="Takeaway"/>
    <x v="2"/>
    <x v="2"/>
  </r>
  <r>
    <x v="114"/>
    <x v="96"/>
    <s v="Meera Desai"/>
    <x v="0"/>
    <x v="10"/>
    <x v="5"/>
    <n v="5"/>
    <n v="190"/>
    <n v="95"/>
    <n v="44"/>
    <n v="906"/>
    <n v="431"/>
    <x v="2"/>
    <s v="Takeaway"/>
    <x v="3"/>
    <x v="1"/>
  </r>
  <r>
    <x v="115"/>
    <x v="97"/>
    <s v="Manish Yadav"/>
    <x v="8"/>
    <x v="3"/>
    <x v="3"/>
    <n v="3"/>
    <n v="180"/>
    <n v="90"/>
    <n v="50"/>
    <n v="490"/>
    <n v="220"/>
    <x v="4"/>
    <s v="Dine-In"/>
    <x v="1"/>
    <x v="2"/>
  </r>
  <r>
    <x v="116"/>
    <x v="98"/>
    <s v="Arjun Reddy"/>
    <x v="9"/>
    <x v="18"/>
    <x v="6"/>
    <n v="3"/>
    <n v="170"/>
    <n v="85"/>
    <n v="17"/>
    <n v="493"/>
    <n v="238"/>
    <x v="4"/>
    <s v="Takeaway"/>
    <x v="9"/>
    <x v="1"/>
  </r>
  <r>
    <x v="117"/>
    <x v="3"/>
    <s v="Rohan Mehta"/>
    <x v="0"/>
    <x v="8"/>
    <x v="5"/>
    <n v="1"/>
    <n v="210"/>
    <n v="105"/>
    <n v="30"/>
    <n v="180"/>
    <n v="75"/>
    <x v="4"/>
    <s v="Delivery"/>
    <x v="2"/>
    <x v="0"/>
  </r>
  <r>
    <x v="118"/>
    <x v="56"/>
    <s v="Vikram Rao"/>
    <x v="2"/>
    <x v="6"/>
    <x v="0"/>
    <n v="4"/>
    <n v="100"/>
    <n v="50"/>
    <n v="8"/>
    <n v="392"/>
    <n v="192"/>
    <x v="1"/>
    <s v="Dine-In"/>
    <x v="5"/>
    <x v="0"/>
  </r>
  <r>
    <x v="119"/>
    <x v="26"/>
    <s v="Pooja Kulkarni"/>
    <x v="7"/>
    <x v="8"/>
    <x v="5"/>
    <n v="3"/>
    <n v="210"/>
    <n v="105"/>
    <n v="33"/>
    <n v="597"/>
    <n v="282"/>
    <x v="0"/>
    <s v="Dine-In"/>
    <x v="7"/>
    <x v="0"/>
  </r>
  <r>
    <x v="120"/>
    <x v="99"/>
    <s v="Aarav Sharma"/>
    <x v="8"/>
    <x v="7"/>
    <x v="3"/>
    <n v="3"/>
    <n v="150"/>
    <n v="75"/>
    <n v="4"/>
    <n v="446"/>
    <n v="221"/>
    <x v="3"/>
    <s v="Dine-In"/>
    <x v="8"/>
    <x v="1"/>
  </r>
  <r>
    <x v="121"/>
    <x v="100"/>
    <s v="Ishita Roy"/>
    <x v="9"/>
    <x v="6"/>
    <x v="0"/>
    <n v="5"/>
    <n v="100"/>
    <n v="50"/>
    <n v="17"/>
    <n v="483"/>
    <n v="233"/>
    <x v="1"/>
    <s v="Delivery"/>
    <x v="5"/>
    <x v="1"/>
  </r>
  <r>
    <x v="122"/>
    <x v="101"/>
    <s v="Tanvi Bhat"/>
    <x v="6"/>
    <x v="16"/>
    <x v="3"/>
    <n v="1"/>
    <n v="120"/>
    <n v="60"/>
    <n v="23"/>
    <n v="97"/>
    <n v="37"/>
    <x v="2"/>
    <s v="Delivery"/>
    <x v="5"/>
    <x v="2"/>
  </r>
  <r>
    <x v="123"/>
    <x v="102"/>
    <s v="Akash Naik"/>
    <x v="1"/>
    <x v="19"/>
    <x v="0"/>
    <n v="2"/>
    <n v="80"/>
    <n v="40"/>
    <n v="30"/>
    <n v="130"/>
    <n v="50"/>
    <x v="0"/>
    <s v="Takeaway"/>
    <x v="7"/>
    <x v="0"/>
  </r>
  <r>
    <x v="124"/>
    <x v="103"/>
    <s v="Manish Yadav"/>
    <x v="1"/>
    <x v="17"/>
    <x v="4"/>
    <n v="2"/>
    <n v="180"/>
    <n v="90"/>
    <n v="36"/>
    <n v="324"/>
    <n v="144"/>
    <x v="1"/>
    <s v="Takeaway"/>
    <x v="7"/>
    <x v="0"/>
  </r>
  <r>
    <x v="125"/>
    <x v="69"/>
    <s v="Ritika Das"/>
    <x v="1"/>
    <x v="11"/>
    <x v="3"/>
    <n v="2"/>
    <n v="200"/>
    <n v="100"/>
    <n v="49"/>
    <n v="351"/>
    <n v="151"/>
    <x v="2"/>
    <s v="Takeaway"/>
    <x v="8"/>
    <x v="2"/>
  </r>
  <r>
    <x v="126"/>
    <x v="104"/>
    <s v="Aditya Kumar"/>
    <x v="7"/>
    <x v="2"/>
    <x v="2"/>
    <n v="2"/>
    <n v="110"/>
    <n v="55"/>
    <n v="38"/>
    <n v="182"/>
    <n v="72"/>
    <x v="1"/>
    <s v="Delivery"/>
    <x v="4"/>
    <x v="1"/>
  </r>
  <r>
    <x v="127"/>
    <x v="105"/>
    <s v="Ritika Das"/>
    <x v="0"/>
    <x v="7"/>
    <x v="3"/>
    <n v="5"/>
    <n v="150"/>
    <n v="75"/>
    <n v="45"/>
    <n v="705"/>
    <n v="330"/>
    <x v="2"/>
    <s v="Dine-In"/>
    <x v="3"/>
    <x v="2"/>
  </r>
  <r>
    <x v="128"/>
    <x v="106"/>
    <s v="Nisha Sharma"/>
    <x v="6"/>
    <x v="17"/>
    <x v="4"/>
    <n v="3"/>
    <n v="180"/>
    <n v="90"/>
    <n v="19"/>
    <n v="521"/>
    <n v="251"/>
    <x v="2"/>
    <s v="Takeaway"/>
    <x v="6"/>
    <x v="2"/>
  </r>
  <r>
    <x v="129"/>
    <x v="107"/>
    <s v="Harsh Vyas"/>
    <x v="2"/>
    <x v="5"/>
    <x v="4"/>
    <n v="5"/>
    <n v="220"/>
    <n v="110"/>
    <n v="37"/>
    <n v="1063"/>
    <n v="513"/>
    <x v="3"/>
    <s v="Dine-In"/>
    <x v="1"/>
    <x v="2"/>
  </r>
  <r>
    <x v="130"/>
    <x v="108"/>
    <s v="Ananya Singh"/>
    <x v="0"/>
    <x v="11"/>
    <x v="3"/>
    <n v="5"/>
    <n v="200"/>
    <n v="100"/>
    <n v="47"/>
    <n v="953"/>
    <n v="453"/>
    <x v="1"/>
    <s v="Dine-In"/>
    <x v="3"/>
    <x v="2"/>
  </r>
  <r>
    <x v="131"/>
    <x v="109"/>
    <s v="Arjun Reddy"/>
    <x v="6"/>
    <x v="0"/>
    <x v="0"/>
    <n v="5"/>
    <n v="240"/>
    <n v="120"/>
    <n v="29"/>
    <n v="1171"/>
    <n v="571"/>
    <x v="4"/>
    <s v="Dine-In"/>
    <x v="6"/>
    <x v="2"/>
  </r>
  <r>
    <x v="132"/>
    <x v="110"/>
    <s v="Rohan Mehta"/>
    <x v="7"/>
    <x v="15"/>
    <x v="3"/>
    <n v="1"/>
    <n v="220"/>
    <n v="110"/>
    <n v="26"/>
    <n v="194"/>
    <n v="84"/>
    <x v="0"/>
    <s v="Dine-In"/>
    <x v="8"/>
    <x v="1"/>
  </r>
  <r>
    <x v="133"/>
    <x v="3"/>
    <s v="Manish Yadav"/>
    <x v="6"/>
    <x v="7"/>
    <x v="3"/>
    <n v="5"/>
    <n v="150"/>
    <n v="75"/>
    <n v="8"/>
    <n v="742"/>
    <n v="367"/>
    <x v="4"/>
    <s v="Delivery"/>
    <x v="4"/>
    <x v="2"/>
  </r>
  <r>
    <x v="134"/>
    <x v="111"/>
    <s v="Tanvi Bhat"/>
    <x v="5"/>
    <x v="2"/>
    <x v="2"/>
    <n v="5"/>
    <n v="110"/>
    <n v="55"/>
    <n v="9"/>
    <n v="541"/>
    <n v="266"/>
    <x v="3"/>
    <s v="Delivery"/>
    <x v="0"/>
    <x v="2"/>
  </r>
  <r>
    <x v="135"/>
    <x v="112"/>
    <s v="Aarav Sharma"/>
    <x v="3"/>
    <x v="8"/>
    <x v="5"/>
    <n v="4"/>
    <n v="210"/>
    <n v="105"/>
    <n v="11"/>
    <n v="829"/>
    <n v="409"/>
    <x v="0"/>
    <s v="Delivery"/>
    <x v="8"/>
    <x v="0"/>
  </r>
  <r>
    <x v="136"/>
    <x v="113"/>
    <s v="Vivek Nair"/>
    <x v="6"/>
    <x v="7"/>
    <x v="3"/>
    <n v="3"/>
    <n v="150"/>
    <n v="75"/>
    <n v="35"/>
    <n v="415"/>
    <n v="190"/>
    <x v="4"/>
    <s v="Delivery"/>
    <x v="2"/>
    <x v="2"/>
  </r>
  <r>
    <x v="137"/>
    <x v="114"/>
    <s v="Aditya Kumar"/>
    <x v="8"/>
    <x v="1"/>
    <x v="1"/>
    <n v="4"/>
    <n v="140"/>
    <n v="70"/>
    <n v="13"/>
    <n v="547"/>
    <n v="267"/>
    <x v="3"/>
    <s v="Dine-In"/>
    <x v="9"/>
    <x v="2"/>
  </r>
  <r>
    <x v="138"/>
    <x v="115"/>
    <s v="Vivek Nair"/>
    <x v="2"/>
    <x v="13"/>
    <x v="2"/>
    <n v="4"/>
    <n v="150"/>
    <n v="75"/>
    <n v="27"/>
    <n v="573"/>
    <n v="273"/>
    <x v="0"/>
    <s v="Dine-In"/>
    <x v="7"/>
    <x v="1"/>
  </r>
  <r>
    <x v="139"/>
    <x v="116"/>
    <s v="Rohan Mehta"/>
    <x v="9"/>
    <x v="2"/>
    <x v="2"/>
    <n v="3"/>
    <n v="110"/>
    <n v="55"/>
    <n v="20"/>
    <n v="310"/>
    <n v="145"/>
    <x v="2"/>
    <s v="Delivery"/>
    <x v="5"/>
    <x v="0"/>
  </r>
  <r>
    <x v="140"/>
    <x v="38"/>
    <s v="Sneha Nair"/>
    <x v="0"/>
    <x v="19"/>
    <x v="0"/>
    <n v="2"/>
    <n v="80"/>
    <n v="40"/>
    <n v="27"/>
    <n v="133"/>
    <n v="53"/>
    <x v="3"/>
    <s v="Delivery"/>
    <x v="6"/>
    <x v="2"/>
  </r>
  <r>
    <x v="141"/>
    <x v="117"/>
    <s v="Ritika Das"/>
    <x v="7"/>
    <x v="10"/>
    <x v="5"/>
    <n v="4"/>
    <n v="190"/>
    <n v="95"/>
    <n v="32"/>
    <n v="728"/>
    <n v="348"/>
    <x v="0"/>
    <s v="Dine-In"/>
    <x v="3"/>
    <x v="1"/>
  </r>
  <r>
    <x v="142"/>
    <x v="118"/>
    <s v="Akash Naik"/>
    <x v="4"/>
    <x v="2"/>
    <x v="2"/>
    <n v="1"/>
    <n v="110"/>
    <n v="55"/>
    <n v="6"/>
    <n v="104"/>
    <n v="49"/>
    <x v="1"/>
    <s v="Takeaway"/>
    <x v="2"/>
    <x v="2"/>
  </r>
  <r>
    <x v="143"/>
    <x v="119"/>
    <s v="Pooja Kulkarni"/>
    <x v="1"/>
    <x v="17"/>
    <x v="4"/>
    <n v="4"/>
    <n v="180"/>
    <n v="90"/>
    <n v="44"/>
    <n v="676"/>
    <n v="316"/>
    <x v="4"/>
    <s v="Dine-In"/>
    <x v="5"/>
    <x v="0"/>
  </r>
  <r>
    <x v="144"/>
    <x v="120"/>
    <s v="Aditi Kapoor"/>
    <x v="5"/>
    <x v="13"/>
    <x v="2"/>
    <n v="4"/>
    <n v="150"/>
    <n v="75"/>
    <n v="28"/>
    <n v="572"/>
    <n v="272"/>
    <x v="0"/>
    <s v="Dine-In"/>
    <x v="6"/>
    <x v="2"/>
  </r>
  <r>
    <x v="145"/>
    <x v="70"/>
    <s v="Kavya Iyer"/>
    <x v="7"/>
    <x v="19"/>
    <x v="0"/>
    <n v="4"/>
    <n v="80"/>
    <n v="40"/>
    <n v="16"/>
    <n v="304"/>
    <n v="144"/>
    <x v="0"/>
    <s v="Dine-In"/>
    <x v="1"/>
    <x v="2"/>
  </r>
  <r>
    <x v="146"/>
    <x v="103"/>
    <s v="Aditya Kumar"/>
    <x v="9"/>
    <x v="1"/>
    <x v="1"/>
    <n v="1"/>
    <n v="140"/>
    <n v="70"/>
    <n v="3"/>
    <n v="137"/>
    <n v="67"/>
    <x v="1"/>
    <s v="Takeaway"/>
    <x v="5"/>
    <x v="2"/>
  </r>
  <r>
    <x v="147"/>
    <x v="121"/>
    <s v="Mohit Agarwal"/>
    <x v="4"/>
    <x v="11"/>
    <x v="3"/>
    <n v="2"/>
    <n v="200"/>
    <n v="100"/>
    <n v="9"/>
    <n v="391"/>
    <n v="191"/>
    <x v="0"/>
    <s v="Delivery"/>
    <x v="6"/>
    <x v="1"/>
  </r>
  <r>
    <x v="148"/>
    <x v="122"/>
    <s v="Vikram Rao"/>
    <x v="9"/>
    <x v="17"/>
    <x v="4"/>
    <n v="5"/>
    <n v="180"/>
    <n v="90"/>
    <n v="36"/>
    <n v="864"/>
    <n v="414"/>
    <x v="3"/>
    <s v="Delivery"/>
    <x v="8"/>
    <x v="2"/>
  </r>
  <r>
    <x v="149"/>
    <x v="123"/>
    <s v="Priya Patel"/>
    <x v="6"/>
    <x v="6"/>
    <x v="0"/>
    <n v="4"/>
    <n v="100"/>
    <n v="50"/>
    <n v="34"/>
    <n v="366"/>
    <n v="166"/>
    <x v="0"/>
    <s v="Dine-In"/>
    <x v="5"/>
    <x v="0"/>
  </r>
  <r>
    <x v="150"/>
    <x v="86"/>
    <s v="Aditi Kapoor"/>
    <x v="1"/>
    <x v="14"/>
    <x v="2"/>
    <n v="4"/>
    <n v="130"/>
    <n v="65"/>
    <n v="50"/>
    <n v="470"/>
    <n v="210"/>
    <x v="2"/>
    <s v="Takeaway"/>
    <x v="4"/>
    <x v="0"/>
  </r>
  <r>
    <x v="151"/>
    <x v="39"/>
    <s v="Kavya Iyer"/>
    <x v="3"/>
    <x v="5"/>
    <x v="4"/>
    <n v="2"/>
    <n v="220"/>
    <n v="110"/>
    <n v="24"/>
    <n v="416"/>
    <n v="196"/>
    <x v="0"/>
    <s v="Delivery"/>
    <x v="0"/>
    <x v="0"/>
  </r>
  <r>
    <x v="152"/>
    <x v="112"/>
    <s v="Vivek Nair"/>
    <x v="5"/>
    <x v="17"/>
    <x v="4"/>
    <n v="3"/>
    <n v="180"/>
    <n v="90"/>
    <n v="32"/>
    <n v="508"/>
    <n v="238"/>
    <x v="4"/>
    <s v="Dine-In"/>
    <x v="9"/>
    <x v="0"/>
  </r>
  <r>
    <x v="153"/>
    <x v="124"/>
    <s v="Vikram Rao"/>
    <x v="7"/>
    <x v="18"/>
    <x v="6"/>
    <n v="4"/>
    <n v="170"/>
    <n v="85"/>
    <n v="42"/>
    <n v="638"/>
    <n v="298"/>
    <x v="0"/>
    <s v="Takeaway"/>
    <x v="6"/>
    <x v="1"/>
  </r>
  <r>
    <x v="154"/>
    <x v="114"/>
    <s v="Aarav Sharma"/>
    <x v="8"/>
    <x v="10"/>
    <x v="5"/>
    <n v="5"/>
    <n v="190"/>
    <n v="95"/>
    <n v="33"/>
    <n v="917"/>
    <n v="442"/>
    <x v="3"/>
    <s v="Dine-In"/>
    <x v="8"/>
    <x v="1"/>
  </r>
  <r>
    <x v="155"/>
    <x v="56"/>
    <s v="Neha Gupta"/>
    <x v="9"/>
    <x v="15"/>
    <x v="3"/>
    <n v="2"/>
    <n v="220"/>
    <n v="110"/>
    <n v="22"/>
    <n v="418"/>
    <n v="198"/>
    <x v="4"/>
    <s v="Takeaway"/>
    <x v="2"/>
    <x v="1"/>
  </r>
  <r>
    <x v="156"/>
    <x v="125"/>
    <s v="Manish Yadav"/>
    <x v="7"/>
    <x v="0"/>
    <x v="0"/>
    <n v="4"/>
    <n v="240"/>
    <n v="120"/>
    <n v="44"/>
    <n v="916"/>
    <n v="436"/>
    <x v="1"/>
    <s v="Dine-In"/>
    <x v="2"/>
    <x v="1"/>
  </r>
  <r>
    <x v="157"/>
    <x v="126"/>
    <s v="Aarav Sharma"/>
    <x v="0"/>
    <x v="7"/>
    <x v="3"/>
    <n v="4"/>
    <n v="150"/>
    <n v="75"/>
    <n v="49"/>
    <n v="551"/>
    <n v="251"/>
    <x v="3"/>
    <s v="Takeaway"/>
    <x v="0"/>
    <x v="2"/>
  </r>
  <r>
    <x v="158"/>
    <x v="127"/>
    <s v="Neha Gupta"/>
    <x v="8"/>
    <x v="4"/>
    <x v="4"/>
    <n v="2"/>
    <n v="160"/>
    <n v="80"/>
    <n v="21"/>
    <n v="299"/>
    <n v="139"/>
    <x v="0"/>
    <s v="Takeaway"/>
    <x v="4"/>
    <x v="0"/>
  </r>
  <r>
    <x v="159"/>
    <x v="111"/>
    <s v="Vivek Nair"/>
    <x v="2"/>
    <x v="5"/>
    <x v="4"/>
    <n v="5"/>
    <n v="220"/>
    <n v="110"/>
    <n v="13"/>
    <n v="1087"/>
    <n v="537"/>
    <x v="2"/>
    <s v="Takeaway"/>
    <x v="8"/>
    <x v="1"/>
  </r>
  <r>
    <x v="160"/>
    <x v="128"/>
    <s v="Vivek Nair"/>
    <x v="5"/>
    <x v="9"/>
    <x v="1"/>
    <n v="4"/>
    <n v="120"/>
    <n v="60"/>
    <n v="0"/>
    <n v="480"/>
    <n v="240"/>
    <x v="2"/>
    <s v="Delivery"/>
    <x v="5"/>
    <x v="1"/>
  </r>
  <r>
    <x v="161"/>
    <x v="129"/>
    <s v="Pooja Kulkarni"/>
    <x v="9"/>
    <x v="12"/>
    <x v="4"/>
    <n v="1"/>
    <n v="170"/>
    <n v="85"/>
    <n v="1"/>
    <n v="169"/>
    <n v="84"/>
    <x v="2"/>
    <s v="Dine-In"/>
    <x v="1"/>
    <x v="0"/>
  </r>
  <r>
    <x v="162"/>
    <x v="130"/>
    <s v="Shruti Rao"/>
    <x v="3"/>
    <x v="15"/>
    <x v="3"/>
    <n v="3"/>
    <n v="220"/>
    <n v="110"/>
    <n v="38"/>
    <n v="622"/>
    <n v="292"/>
    <x v="3"/>
    <s v="Takeaway"/>
    <x v="3"/>
    <x v="2"/>
  </r>
  <r>
    <x v="163"/>
    <x v="131"/>
    <s v="Meera Desai"/>
    <x v="8"/>
    <x v="14"/>
    <x v="2"/>
    <n v="5"/>
    <n v="130"/>
    <n v="65"/>
    <n v="50"/>
    <n v="600"/>
    <n v="275"/>
    <x v="1"/>
    <s v="Delivery"/>
    <x v="0"/>
    <x v="0"/>
  </r>
  <r>
    <x v="164"/>
    <x v="132"/>
    <s v="Pooja Kulkarni"/>
    <x v="0"/>
    <x v="15"/>
    <x v="3"/>
    <n v="4"/>
    <n v="220"/>
    <n v="110"/>
    <n v="19"/>
    <n v="861"/>
    <n v="421"/>
    <x v="0"/>
    <s v="Dine-In"/>
    <x v="1"/>
    <x v="1"/>
  </r>
  <r>
    <x v="165"/>
    <x v="133"/>
    <s v="Mohit Agarwal"/>
    <x v="0"/>
    <x v="5"/>
    <x v="4"/>
    <n v="4"/>
    <n v="220"/>
    <n v="110"/>
    <n v="29"/>
    <n v="851"/>
    <n v="411"/>
    <x v="4"/>
    <s v="Delivery"/>
    <x v="3"/>
    <x v="0"/>
  </r>
  <r>
    <x v="166"/>
    <x v="134"/>
    <s v="Simran Kaur"/>
    <x v="2"/>
    <x v="14"/>
    <x v="2"/>
    <n v="4"/>
    <n v="130"/>
    <n v="65"/>
    <n v="9"/>
    <n v="511"/>
    <n v="251"/>
    <x v="3"/>
    <s v="Dine-In"/>
    <x v="0"/>
    <x v="2"/>
  </r>
  <r>
    <x v="167"/>
    <x v="135"/>
    <s v="Vikram Rao"/>
    <x v="6"/>
    <x v="4"/>
    <x v="4"/>
    <n v="5"/>
    <n v="160"/>
    <n v="80"/>
    <n v="10"/>
    <n v="790"/>
    <n v="390"/>
    <x v="0"/>
    <s v="Delivery"/>
    <x v="0"/>
    <x v="2"/>
  </r>
  <r>
    <x v="168"/>
    <x v="66"/>
    <s v="Vikram Rao"/>
    <x v="4"/>
    <x v="6"/>
    <x v="0"/>
    <n v="5"/>
    <n v="100"/>
    <n v="50"/>
    <n v="35"/>
    <n v="465"/>
    <n v="215"/>
    <x v="0"/>
    <s v="Delivery"/>
    <x v="4"/>
    <x v="2"/>
  </r>
  <r>
    <x v="169"/>
    <x v="0"/>
    <s v="Aarav Sharma"/>
    <x v="8"/>
    <x v="1"/>
    <x v="1"/>
    <n v="1"/>
    <n v="140"/>
    <n v="70"/>
    <n v="27"/>
    <n v="113"/>
    <n v="43"/>
    <x v="4"/>
    <s v="Takeaway"/>
    <x v="0"/>
    <x v="0"/>
  </r>
  <r>
    <x v="170"/>
    <x v="136"/>
    <s v="Divya Shetty"/>
    <x v="4"/>
    <x v="9"/>
    <x v="1"/>
    <n v="2"/>
    <n v="120"/>
    <n v="60"/>
    <n v="10"/>
    <n v="230"/>
    <n v="110"/>
    <x v="3"/>
    <s v="Takeaway"/>
    <x v="2"/>
    <x v="0"/>
  </r>
  <r>
    <x v="171"/>
    <x v="137"/>
    <s v="Vikram Rao"/>
    <x v="7"/>
    <x v="8"/>
    <x v="5"/>
    <n v="5"/>
    <n v="210"/>
    <n v="105"/>
    <n v="46"/>
    <n v="1004"/>
    <n v="479"/>
    <x v="4"/>
    <s v="Dine-In"/>
    <x v="2"/>
    <x v="0"/>
  </r>
  <r>
    <x v="172"/>
    <x v="136"/>
    <s v="Sneha Nair"/>
    <x v="9"/>
    <x v="19"/>
    <x v="0"/>
    <n v="2"/>
    <n v="80"/>
    <n v="40"/>
    <n v="38"/>
    <n v="122"/>
    <n v="42"/>
    <x v="4"/>
    <s v="Takeaway"/>
    <x v="1"/>
    <x v="1"/>
  </r>
  <r>
    <x v="173"/>
    <x v="85"/>
    <s v="Aditi Kapoor"/>
    <x v="6"/>
    <x v="11"/>
    <x v="3"/>
    <n v="5"/>
    <n v="200"/>
    <n v="100"/>
    <n v="31"/>
    <n v="969"/>
    <n v="469"/>
    <x v="3"/>
    <s v="Takeaway"/>
    <x v="9"/>
    <x v="0"/>
  </r>
  <r>
    <x v="174"/>
    <x v="118"/>
    <s v="Neha Gupta"/>
    <x v="1"/>
    <x v="15"/>
    <x v="3"/>
    <n v="4"/>
    <n v="220"/>
    <n v="110"/>
    <n v="19"/>
    <n v="861"/>
    <n v="421"/>
    <x v="1"/>
    <s v="Dine-In"/>
    <x v="9"/>
    <x v="1"/>
  </r>
  <r>
    <x v="175"/>
    <x v="138"/>
    <s v="Divya Shetty"/>
    <x v="7"/>
    <x v="11"/>
    <x v="3"/>
    <n v="2"/>
    <n v="200"/>
    <n v="100"/>
    <n v="21"/>
    <n v="379"/>
    <n v="179"/>
    <x v="4"/>
    <s v="Delivery"/>
    <x v="9"/>
    <x v="1"/>
  </r>
  <r>
    <x v="176"/>
    <x v="7"/>
    <s v="Arjun Reddy"/>
    <x v="5"/>
    <x v="9"/>
    <x v="1"/>
    <n v="5"/>
    <n v="120"/>
    <n v="60"/>
    <n v="5"/>
    <n v="595"/>
    <n v="295"/>
    <x v="3"/>
    <s v="Dine-In"/>
    <x v="7"/>
    <x v="1"/>
  </r>
  <r>
    <x v="177"/>
    <x v="139"/>
    <s v="Siddharth Jain"/>
    <x v="3"/>
    <x v="19"/>
    <x v="0"/>
    <n v="1"/>
    <n v="80"/>
    <n v="40"/>
    <n v="30"/>
    <n v="50"/>
    <n v="10"/>
    <x v="0"/>
    <s v="Delivery"/>
    <x v="8"/>
    <x v="2"/>
  </r>
  <r>
    <x v="178"/>
    <x v="140"/>
    <s v="Karan Joshi"/>
    <x v="1"/>
    <x v="18"/>
    <x v="6"/>
    <n v="1"/>
    <n v="170"/>
    <n v="85"/>
    <n v="24"/>
    <n v="146"/>
    <n v="61"/>
    <x v="1"/>
    <s v="Delivery"/>
    <x v="2"/>
    <x v="0"/>
  </r>
  <r>
    <x v="179"/>
    <x v="141"/>
    <s v="Tanvi Bhat"/>
    <x v="6"/>
    <x v="9"/>
    <x v="1"/>
    <n v="1"/>
    <n v="120"/>
    <n v="60"/>
    <n v="50"/>
    <n v="70"/>
    <n v="10"/>
    <x v="4"/>
    <s v="Delivery"/>
    <x v="5"/>
    <x v="2"/>
  </r>
  <r>
    <x v="180"/>
    <x v="138"/>
    <s v="Divya Shetty"/>
    <x v="4"/>
    <x v="18"/>
    <x v="6"/>
    <n v="1"/>
    <n v="170"/>
    <n v="85"/>
    <n v="26"/>
    <n v="144"/>
    <n v="59"/>
    <x v="1"/>
    <s v="Delivery"/>
    <x v="9"/>
    <x v="0"/>
  </r>
  <r>
    <x v="181"/>
    <x v="142"/>
    <s v="Ishita Roy"/>
    <x v="0"/>
    <x v="13"/>
    <x v="2"/>
    <n v="3"/>
    <n v="150"/>
    <n v="75"/>
    <n v="29"/>
    <n v="421"/>
    <n v="196"/>
    <x v="3"/>
    <s v="Delivery"/>
    <x v="6"/>
    <x v="2"/>
  </r>
  <r>
    <x v="182"/>
    <x v="143"/>
    <s v="Siddharth Jain"/>
    <x v="3"/>
    <x v="3"/>
    <x v="3"/>
    <n v="2"/>
    <n v="180"/>
    <n v="90"/>
    <n v="6"/>
    <n v="354"/>
    <n v="174"/>
    <x v="0"/>
    <s v="Delivery"/>
    <x v="2"/>
    <x v="1"/>
  </r>
  <r>
    <x v="183"/>
    <x v="144"/>
    <s v="Aman Mishra"/>
    <x v="1"/>
    <x v="2"/>
    <x v="2"/>
    <n v="1"/>
    <n v="110"/>
    <n v="55"/>
    <n v="35"/>
    <n v="75"/>
    <n v="20"/>
    <x v="3"/>
    <s v="Takeaway"/>
    <x v="9"/>
    <x v="2"/>
  </r>
  <r>
    <x v="184"/>
    <x v="145"/>
    <s v="Vivek Nair"/>
    <x v="5"/>
    <x v="10"/>
    <x v="5"/>
    <n v="2"/>
    <n v="190"/>
    <n v="95"/>
    <n v="26"/>
    <n v="354"/>
    <n v="164"/>
    <x v="3"/>
    <s v="Takeaway"/>
    <x v="6"/>
    <x v="2"/>
  </r>
  <r>
    <x v="185"/>
    <x v="145"/>
    <s v="Aman Mishra"/>
    <x v="9"/>
    <x v="7"/>
    <x v="3"/>
    <n v="5"/>
    <n v="150"/>
    <n v="75"/>
    <n v="27"/>
    <n v="723"/>
    <n v="348"/>
    <x v="0"/>
    <s v="Takeaway"/>
    <x v="3"/>
    <x v="0"/>
  </r>
  <r>
    <x v="186"/>
    <x v="146"/>
    <s v="Tanvi Bhat"/>
    <x v="9"/>
    <x v="16"/>
    <x v="3"/>
    <n v="3"/>
    <n v="120"/>
    <n v="60"/>
    <n v="35"/>
    <n v="325"/>
    <n v="145"/>
    <x v="3"/>
    <s v="Delivery"/>
    <x v="7"/>
    <x v="0"/>
  </r>
  <r>
    <x v="187"/>
    <x v="147"/>
    <s v="Kavya Iyer"/>
    <x v="8"/>
    <x v="9"/>
    <x v="1"/>
    <n v="4"/>
    <n v="120"/>
    <n v="60"/>
    <n v="14"/>
    <n v="466"/>
    <n v="226"/>
    <x v="2"/>
    <s v="Dine-In"/>
    <x v="4"/>
    <x v="0"/>
  </r>
  <r>
    <x v="188"/>
    <x v="148"/>
    <s v="Manish Yadav"/>
    <x v="6"/>
    <x v="19"/>
    <x v="0"/>
    <n v="2"/>
    <n v="80"/>
    <n v="40"/>
    <n v="6"/>
    <n v="154"/>
    <n v="74"/>
    <x v="3"/>
    <s v="Delivery"/>
    <x v="6"/>
    <x v="0"/>
  </r>
  <r>
    <x v="189"/>
    <x v="149"/>
    <s v="Ishita Roy"/>
    <x v="2"/>
    <x v="8"/>
    <x v="5"/>
    <n v="1"/>
    <n v="210"/>
    <n v="105"/>
    <n v="30"/>
    <n v="180"/>
    <n v="75"/>
    <x v="3"/>
    <s v="Dine-In"/>
    <x v="0"/>
    <x v="1"/>
  </r>
  <r>
    <x v="190"/>
    <x v="31"/>
    <s v="Tanvi Bhat"/>
    <x v="6"/>
    <x v="9"/>
    <x v="1"/>
    <n v="4"/>
    <n v="120"/>
    <n v="60"/>
    <n v="28"/>
    <n v="452"/>
    <n v="212"/>
    <x v="4"/>
    <s v="Takeaway"/>
    <x v="1"/>
    <x v="2"/>
  </r>
  <r>
    <x v="191"/>
    <x v="38"/>
    <s v="Harsh Vyas"/>
    <x v="2"/>
    <x v="16"/>
    <x v="3"/>
    <n v="5"/>
    <n v="120"/>
    <n v="60"/>
    <n v="38"/>
    <n v="562"/>
    <n v="262"/>
    <x v="1"/>
    <s v="Dine-In"/>
    <x v="7"/>
    <x v="2"/>
  </r>
  <r>
    <x v="192"/>
    <x v="55"/>
    <s v="Sneha Nair"/>
    <x v="8"/>
    <x v="0"/>
    <x v="0"/>
    <n v="5"/>
    <n v="240"/>
    <n v="120"/>
    <n v="9"/>
    <n v="1191"/>
    <n v="591"/>
    <x v="1"/>
    <s v="Delivery"/>
    <x v="6"/>
    <x v="1"/>
  </r>
  <r>
    <x v="193"/>
    <x v="150"/>
    <s v="Pooja Kulkarni"/>
    <x v="0"/>
    <x v="16"/>
    <x v="3"/>
    <n v="4"/>
    <n v="120"/>
    <n v="60"/>
    <n v="21"/>
    <n v="459"/>
    <n v="219"/>
    <x v="4"/>
    <s v="Takeaway"/>
    <x v="8"/>
    <x v="2"/>
  </r>
  <r>
    <x v="194"/>
    <x v="151"/>
    <s v="Harsh Vyas"/>
    <x v="1"/>
    <x v="5"/>
    <x v="4"/>
    <n v="2"/>
    <n v="220"/>
    <n v="110"/>
    <n v="33"/>
    <n v="407"/>
    <n v="187"/>
    <x v="4"/>
    <s v="Takeaway"/>
    <x v="0"/>
    <x v="2"/>
  </r>
  <r>
    <x v="195"/>
    <x v="152"/>
    <s v="Harsh Vyas"/>
    <x v="1"/>
    <x v="3"/>
    <x v="3"/>
    <n v="5"/>
    <n v="180"/>
    <n v="90"/>
    <n v="38"/>
    <n v="862"/>
    <n v="412"/>
    <x v="0"/>
    <s v="Takeaway"/>
    <x v="8"/>
    <x v="2"/>
  </r>
  <r>
    <x v="196"/>
    <x v="97"/>
    <s v="Siddharth Jain"/>
    <x v="1"/>
    <x v="0"/>
    <x v="0"/>
    <n v="3"/>
    <n v="240"/>
    <n v="120"/>
    <n v="1"/>
    <n v="719"/>
    <n v="359"/>
    <x v="2"/>
    <s v="Dine-In"/>
    <x v="6"/>
    <x v="1"/>
  </r>
  <r>
    <x v="197"/>
    <x v="153"/>
    <s v="Tanvi Bhat"/>
    <x v="9"/>
    <x v="9"/>
    <x v="1"/>
    <n v="4"/>
    <n v="120"/>
    <n v="60"/>
    <n v="3"/>
    <n v="477"/>
    <n v="237"/>
    <x v="2"/>
    <s v="Takeaway"/>
    <x v="5"/>
    <x v="2"/>
  </r>
  <r>
    <x v="198"/>
    <x v="154"/>
    <s v="Aditya Kumar"/>
    <x v="3"/>
    <x v="12"/>
    <x v="4"/>
    <n v="5"/>
    <n v="170"/>
    <n v="85"/>
    <n v="0"/>
    <n v="850"/>
    <n v="425"/>
    <x v="1"/>
    <s v="Dine-In"/>
    <x v="1"/>
    <x v="2"/>
  </r>
  <r>
    <x v="199"/>
    <x v="71"/>
    <s v="Aman Mishra"/>
    <x v="1"/>
    <x v="8"/>
    <x v="5"/>
    <n v="2"/>
    <n v="210"/>
    <n v="105"/>
    <n v="28"/>
    <n v="392"/>
    <n v="182"/>
    <x v="4"/>
    <s v="Takeaway"/>
    <x v="0"/>
    <x v="0"/>
  </r>
  <r>
    <x v="200"/>
    <x v="155"/>
    <s v="Aman Mishra"/>
    <x v="9"/>
    <x v="9"/>
    <x v="1"/>
    <n v="4"/>
    <n v="120"/>
    <n v="60"/>
    <n v="11"/>
    <n v="469"/>
    <n v="229"/>
    <x v="0"/>
    <s v="Takeaway"/>
    <x v="3"/>
    <x v="0"/>
  </r>
  <r>
    <x v="201"/>
    <x v="156"/>
    <s v="Yash Patil"/>
    <x v="6"/>
    <x v="16"/>
    <x v="3"/>
    <n v="4"/>
    <n v="120"/>
    <n v="60"/>
    <n v="16"/>
    <n v="464"/>
    <n v="224"/>
    <x v="0"/>
    <s v="Delivery"/>
    <x v="5"/>
    <x v="0"/>
  </r>
  <r>
    <x v="202"/>
    <x v="79"/>
    <s v="Mohit Agarwal"/>
    <x v="1"/>
    <x v="19"/>
    <x v="0"/>
    <n v="2"/>
    <n v="80"/>
    <n v="40"/>
    <n v="33"/>
    <n v="127"/>
    <n v="47"/>
    <x v="4"/>
    <s v="Dine-In"/>
    <x v="1"/>
    <x v="1"/>
  </r>
  <r>
    <x v="203"/>
    <x v="157"/>
    <s v="Manish Yadav"/>
    <x v="9"/>
    <x v="10"/>
    <x v="5"/>
    <n v="3"/>
    <n v="190"/>
    <n v="95"/>
    <n v="33"/>
    <n v="537"/>
    <n v="252"/>
    <x v="3"/>
    <s v="Takeaway"/>
    <x v="6"/>
    <x v="2"/>
  </r>
  <r>
    <x v="204"/>
    <x v="158"/>
    <s v="Akash Naik"/>
    <x v="0"/>
    <x v="6"/>
    <x v="0"/>
    <n v="4"/>
    <n v="100"/>
    <n v="50"/>
    <n v="47"/>
    <n v="353"/>
    <n v="153"/>
    <x v="3"/>
    <s v="Takeaway"/>
    <x v="7"/>
    <x v="0"/>
  </r>
  <r>
    <x v="205"/>
    <x v="159"/>
    <s v="Vikram Rao"/>
    <x v="0"/>
    <x v="9"/>
    <x v="1"/>
    <n v="5"/>
    <n v="120"/>
    <n v="60"/>
    <n v="9"/>
    <n v="591"/>
    <n v="291"/>
    <x v="1"/>
    <s v="Delivery"/>
    <x v="0"/>
    <x v="0"/>
  </r>
  <r>
    <x v="206"/>
    <x v="156"/>
    <s v="Neha Gupta"/>
    <x v="3"/>
    <x v="4"/>
    <x v="4"/>
    <n v="1"/>
    <n v="160"/>
    <n v="80"/>
    <n v="31"/>
    <n v="129"/>
    <n v="49"/>
    <x v="3"/>
    <s v="Delivery"/>
    <x v="9"/>
    <x v="1"/>
  </r>
  <r>
    <x v="207"/>
    <x v="160"/>
    <s v="Aditi Kapoor"/>
    <x v="6"/>
    <x v="19"/>
    <x v="0"/>
    <n v="4"/>
    <n v="80"/>
    <n v="40"/>
    <n v="34"/>
    <n v="286"/>
    <n v="126"/>
    <x v="4"/>
    <s v="Dine-In"/>
    <x v="6"/>
    <x v="2"/>
  </r>
  <r>
    <x v="208"/>
    <x v="15"/>
    <s v="Meera Desai"/>
    <x v="9"/>
    <x v="5"/>
    <x v="4"/>
    <n v="5"/>
    <n v="220"/>
    <n v="110"/>
    <n v="28"/>
    <n v="1072"/>
    <n v="522"/>
    <x v="3"/>
    <s v="Dine-In"/>
    <x v="0"/>
    <x v="0"/>
  </r>
  <r>
    <x v="209"/>
    <x v="161"/>
    <s v="Nisha Sharma"/>
    <x v="6"/>
    <x v="16"/>
    <x v="3"/>
    <n v="3"/>
    <n v="120"/>
    <n v="60"/>
    <n v="37"/>
    <n v="323"/>
    <n v="143"/>
    <x v="2"/>
    <s v="Dine-In"/>
    <x v="2"/>
    <x v="0"/>
  </r>
  <r>
    <x v="210"/>
    <x v="162"/>
    <s v="Aditya Kumar"/>
    <x v="8"/>
    <x v="7"/>
    <x v="3"/>
    <n v="1"/>
    <n v="150"/>
    <n v="75"/>
    <n v="18"/>
    <n v="132"/>
    <n v="57"/>
    <x v="2"/>
    <s v="Delivery"/>
    <x v="1"/>
    <x v="1"/>
  </r>
  <r>
    <x v="211"/>
    <x v="45"/>
    <s v="Akash Naik"/>
    <x v="3"/>
    <x v="7"/>
    <x v="3"/>
    <n v="5"/>
    <n v="150"/>
    <n v="75"/>
    <n v="18"/>
    <n v="732"/>
    <n v="357"/>
    <x v="4"/>
    <s v="Delivery"/>
    <x v="8"/>
    <x v="0"/>
  </r>
  <r>
    <x v="212"/>
    <x v="163"/>
    <s v="Simran Kaur"/>
    <x v="6"/>
    <x v="10"/>
    <x v="5"/>
    <n v="4"/>
    <n v="190"/>
    <n v="95"/>
    <n v="7"/>
    <n v="753"/>
    <n v="373"/>
    <x v="1"/>
    <s v="Dine-In"/>
    <x v="0"/>
    <x v="1"/>
  </r>
  <r>
    <x v="213"/>
    <x v="108"/>
    <s v="Aman Mishra"/>
    <x v="8"/>
    <x v="4"/>
    <x v="4"/>
    <n v="5"/>
    <n v="160"/>
    <n v="80"/>
    <n v="32"/>
    <n v="768"/>
    <n v="368"/>
    <x v="2"/>
    <s v="Delivery"/>
    <x v="1"/>
    <x v="2"/>
  </r>
  <r>
    <x v="214"/>
    <x v="18"/>
    <s v="Rahul Verma"/>
    <x v="6"/>
    <x v="1"/>
    <x v="1"/>
    <n v="4"/>
    <n v="140"/>
    <n v="70"/>
    <n v="4"/>
    <n v="556"/>
    <n v="276"/>
    <x v="4"/>
    <s v="Takeaway"/>
    <x v="8"/>
    <x v="2"/>
  </r>
  <r>
    <x v="215"/>
    <x v="164"/>
    <s v="Vikram Rao"/>
    <x v="1"/>
    <x v="8"/>
    <x v="5"/>
    <n v="4"/>
    <n v="210"/>
    <n v="105"/>
    <n v="18"/>
    <n v="822"/>
    <n v="402"/>
    <x v="3"/>
    <s v="Takeaway"/>
    <x v="3"/>
    <x v="2"/>
  </r>
  <r>
    <x v="216"/>
    <x v="107"/>
    <s v="Aman Mishra"/>
    <x v="3"/>
    <x v="2"/>
    <x v="2"/>
    <n v="1"/>
    <n v="110"/>
    <n v="55"/>
    <n v="37"/>
    <n v="73"/>
    <n v="18"/>
    <x v="1"/>
    <s v="Takeaway"/>
    <x v="6"/>
    <x v="2"/>
  </r>
  <r>
    <x v="217"/>
    <x v="165"/>
    <s v="Karan Joshi"/>
    <x v="4"/>
    <x v="4"/>
    <x v="4"/>
    <n v="4"/>
    <n v="160"/>
    <n v="80"/>
    <n v="45"/>
    <n v="595"/>
    <n v="275"/>
    <x v="1"/>
    <s v="Delivery"/>
    <x v="1"/>
    <x v="1"/>
  </r>
  <r>
    <x v="218"/>
    <x v="166"/>
    <s v="Ritika Das"/>
    <x v="0"/>
    <x v="13"/>
    <x v="2"/>
    <n v="1"/>
    <n v="150"/>
    <n v="75"/>
    <n v="25"/>
    <n v="125"/>
    <n v="50"/>
    <x v="0"/>
    <s v="Dine-In"/>
    <x v="4"/>
    <x v="2"/>
  </r>
  <r>
    <x v="219"/>
    <x v="49"/>
    <s v="Shruti Rao"/>
    <x v="1"/>
    <x v="13"/>
    <x v="2"/>
    <n v="5"/>
    <n v="150"/>
    <n v="75"/>
    <n v="16"/>
    <n v="734"/>
    <n v="359"/>
    <x v="2"/>
    <s v="Delivery"/>
    <x v="3"/>
    <x v="0"/>
  </r>
  <r>
    <x v="220"/>
    <x v="140"/>
    <s v="Kavya Iyer"/>
    <x v="2"/>
    <x v="5"/>
    <x v="4"/>
    <n v="2"/>
    <n v="220"/>
    <n v="110"/>
    <n v="41"/>
    <n v="399"/>
    <n v="179"/>
    <x v="4"/>
    <s v="Delivery"/>
    <x v="2"/>
    <x v="1"/>
  </r>
  <r>
    <x v="221"/>
    <x v="1"/>
    <s v="Ritika Das"/>
    <x v="4"/>
    <x v="11"/>
    <x v="3"/>
    <n v="1"/>
    <n v="200"/>
    <n v="100"/>
    <n v="30"/>
    <n v="170"/>
    <n v="70"/>
    <x v="4"/>
    <s v="Dine-In"/>
    <x v="8"/>
    <x v="0"/>
  </r>
  <r>
    <x v="222"/>
    <x v="83"/>
    <s v="Pooja Kulkarni"/>
    <x v="4"/>
    <x v="17"/>
    <x v="4"/>
    <n v="1"/>
    <n v="180"/>
    <n v="90"/>
    <n v="8"/>
    <n v="172"/>
    <n v="82"/>
    <x v="1"/>
    <s v="Dine-In"/>
    <x v="8"/>
    <x v="1"/>
  </r>
  <r>
    <x v="223"/>
    <x v="167"/>
    <s v="Arjun Reddy"/>
    <x v="3"/>
    <x v="13"/>
    <x v="2"/>
    <n v="5"/>
    <n v="150"/>
    <n v="75"/>
    <n v="8"/>
    <n v="742"/>
    <n v="367"/>
    <x v="3"/>
    <s v="Delivery"/>
    <x v="6"/>
    <x v="1"/>
  </r>
  <r>
    <x v="224"/>
    <x v="117"/>
    <s v="Manish Yadav"/>
    <x v="4"/>
    <x v="16"/>
    <x v="3"/>
    <n v="4"/>
    <n v="120"/>
    <n v="60"/>
    <n v="32"/>
    <n v="448"/>
    <n v="208"/>
    <x v="2"/>
    <s v="Dine-In"/>
    <x v="8"/>
    <x v="0"/>
  </r>
  <r>
    <x v="225"/>
    <x v="168"/>
    <s v="Ananya Singh"/>
    <x v="8"/>
    <x v="10"/>
    <x v="5"/>
    <n v="4"/>
    <n v="190"/>
    <n v="95"/>
    <n v="30"/>
    <n v="730"/>
    <n v="350"/>
    <x v="4"/>
    <s v="Dine-In"/>
    <x v="3"/>
    <x v="1"/>
  </r>
  <r>
    <x v="226"/>
    <x v="169"/>
    <s v="Neha Gupta"/>
    <x v="6"/>
    <x v="5"/>
    <x v="4"/>
    <n v="1"/>
    <n v="220"/>
    <n v="110"/>
    <n v="7"/>
    <n v="213"/>
    <n v="103"/>
    <x v="4"/>
    <s v="Dine-In"/>
    <x v="5"/>
    <x v="1"/>
  </r>
  <r>
    <x v="227"/>
    <x v="170"/>
    <s v="Rohan Mehta"/>
    <x v="9"/>
    <x v="12"/>
    <x v="4"/>
    <n v="4"/>
    <n v="170"/>
    <n v="85"/>
    <n v="39"/>
    <n v="641"/>
    <n v="301"/>
    <x v="1"/>
    <s v="Delivery"/>
    <x v="3"/>
    <x v="1"/>
  </r>
  <r>
    <x v="228"/>
    <x v="171"/>
    <s v="Karan Joshi"/>
    <x v="2"/>
    <x v="6"/>
    <x v="0"/>
    <n v="5"/>
    <n v="100"/>
    <n v="50"/>
    <n v="43"/>
    <n v="457"/>
    <n v="207"/>
    <x v="4"/>
    <s v="Delivery"/>
    <x v="1"/>
    <x v="0"/>
  </r>
  <r>
    <x v="229"/>
    <x v="92"/>
    <s v="Ishita Roy"/>
    <x v="4"/>
    <x v="12"/>
    <x v="4"/>
    <n v="5"/>
    <n v="170"/>
    <n v="85"/>
    <n v="50"/>
    <n v="800"/>
    <n v="375"/>
    <x v="4"/>
    <s v="Dine-In"/>
    <x v="9"/>
    <x v="0"/>
  </r>
  <r>
    <x v="230"/>
    <x v="172"/>
    <s v="Rohan Mehta"/>
    <x v="3"/>
    <x v="3"/>
    <x v="3"/>
    <n v="1"/>
    <n v="180"/>
    <n v="90"/>
    <n v="20"/>
    <n v="160"/>
    <n v="70"/>
    <x v="2"/>
    <s v="Takeaway"/>
    <x v="3"/>
    <x v="1"/>
  </r>
  <r>
    <x v="231"/>
    <x v="173"/>
    <s v="Ishita Roy"/>
    <x v="4"/>
    <x v="1"/>
    <x v="1"/>
    <n v="5"/>
    <n v="140"/>
    <n v="70"/>
    <n v="46"/>
    <n v="654"/>
    <n v="304"/>
    <x v="3"/>
    <s v="Delivery"/>
    <x v="4"/>
    <x v="2"/>
  </r>
  <r>
    <x v="232"/>
    <x v="108"/>
    <s v="Pooja Kulkarni"/>
    <x v="1"/>
    <x v="13"/>
    <x v="2"/>
    <n v="5"/>
    <n v="150"/>
    <n v="75"/>
    <n v="20"/>
    <n v="730"/>
    <n v="355"/>
    <x v="4"/>
    <s v="Dine-In"/>
    <x v="1"/>
    <x v="0"/>
  </r>
  <r>
    <x v="233"/>
    <x v="174"/>
    <s v="Aditi Kapoor"/>
    <x v="2"/>
    <x v="4"/>
    <x v="4"/>
    <n v="1"/>
    <n v="160"/>
    <n v="80"/>
    <n v="27"/>
    <n v="133"/>
    <n v="53"/>
    <x v="0"/>
    <s v="Takeaway"/>
    <x v="1"/>
    <x v="2"/>
  </r>
  <r>
    <x v="234"/>
    <x v="175"/>
    <s v="Sneha Nair"/>
    <x v="2"/>
    <x v="18"/>
    <x v="6"/>
    <n v="1"/>
    <n v="170"/>
    <n v="85"/>
    <n v="10"/>
    <n v="160"/>
    <n v="75"/>
    <x v="3"/>
    <s v="Dine-In"/>
    <x v="3"/>
    <x v="2"/>
  </r>
  <r>
    <x v="235"/>
    <x v="99"/>
    <s v="Mohit Agarwal"/>
    <x v="7"/>
    <x v="16"/>
    <x v="3"/>
    <n v="5"/>
    <n v="120"/>
    <n v="60"/>
    <n v="15"/>
    <n v="585"/>
    <n v="285"/>
    <x v="2"/>
    <s v="Dine-In"/>
    <x v="9"/>
    <x v="1"/>
  </r>
  <r>
    <x v="236"/>
    <x v="135"/>
    <s v="Neha Gupta"/>
    <x v="8"/>
    <x v="10"/>
    <x v="5"/>
    <n v="5"/>
    <n v="190"/>
    <n v="95"/>
    <n v="46"/>
    <n v="904"/>
    <n v="429"/>
    <x v="4"/>
    <s v="Dine-In"/>
    <x v="4"/>
    <x v="0"/>
  </r>
  <r>
    <x v="237"/>
    <x v="2"/>
    <s v="Rohan Mehta"/>
    <x v="4"/>
    <x v="19"/>
    <x v="0"/>
    <n v="5"/>
    <n v="80"/>
    <n v="40"/>
    <n v="32"/>
    <n v="368"/>
    <n v="168"/>
    <x v="2"/>
    <s v="Takeaway"/>
    <x v="8"/>
    <x v="2"/>
  </r>
  <r>
    <x v="238"/>
    <x v="126"/>
    <s v="Priya Patel"/>
    <x v="6"/>
    <x v="17"/>
    <x v="4"/>
    <n v="3"/>
    <n v="180"/>
    <n v="90"/>
    <n v="44"/>
    <n v="496"/>
    <n v="226"/>
    <x v="1"/>
    <s v="Delivery"/>
    <x v="0"/>
    <x v="1"/>
  </r>
  <r>
    <x v="239"/>
    <x v="130"/>
    <s v="Pooja Kulkarni"/>
    <x v="5"/>
    <x v="4"/>
    <x v="4"/>
    <n v="2"/>
    <n v="160"/>
    <n v="80"/>
    <n v="4"/>
    <n v="316"/>
    <n v="156"/>
    <x v="2"/>
    <s v="Delivery"/>
    <x v="3"/>
    <x v="2"/>
  </r>
  <r>
    <x v="240"/>
    <x v="176"/>
    <s v="Karan Joshi"/>
    <x v="8"/>
    <x v="14"/>
    <x v="2"/>
    <n v="2"/>
    <n v="130"/>
    <n v="65"/>
    <n v="7"/>
    <n v="253"/>
    <n v="123"/>
    <x v="1"/>
    <s v="Dine-In"/>
    <x v="4"/>
    <x v="1"/>
  </r>
  <r>
    <x v="241"/>
    <x v="169"/>
    <s v="Harsh Vyas"/>
    <x v="9"/>
    <x v="10"/>
    <x v="5"/>
    <n v="2"/>
    <n v="190"/>
    <n v="95"/>
    <n v="30"/>
    <n v="350"/>
    <n v="160"/>
    <x v="2"/>
    <s v="Takeaway"/>
    <x v="7"/>
    <x v="0"/>
  </r>
  <r>
    <x v="242"/>
    <x v="177"/>
    <s v="Ananya Singh"/>
    <x v="1"/>
    <x v="16"/>
    <x v="3"/>
    <n v="2"/>
    <n v="120"/>
    <n v="60"/>
    <n v="7"/>
    <n v="233"/>
    <n v="113"/>
    <x v="4"/>
    <s v="Takeaway"/>
    <x v="4"/>
    <x v="0"/>
  </r>
  <r>
    <x v="243"/>
    <x v="178"/>
    <s v="Akash Naik"/>
    <x v="9"/>
    <x v="8"/>
    <x v="5"/>
    <n v="4"/>
    <n v="210"/>
    <n v="105"/>
    <n v="26"/>
    <n v="814"/>
    <n v="394"/>
    <x v="0"/>
    <s v="Dine-In"/>
    <x v="9"/>
    <x v="2"/>
  </r>
  <r>
    <x v="244"/>
    <x v="179"/>
    <s v="Sneha Nair"/>
    <x v="9"/>
    <x v="17"/>
    <x v="4"/>
    <n v="5"/>
    <n v="180"/>
    <n v="90"/>
    <n v="2"/>
    <n v="898"/>
    <n v="448"/>
    <x v="2"/>
    <s v="Delivery"/>
    <x v="9"/>
    <x v="2"/>
  </r>
  <r>
    <x v="245"/>
    <x v="180"/>
    <s v="Akash Naik"/>
    <x v="8"/>
    <x v="14"/>
    <x v="2"/>
    <n v="1"/>
    <n v="130"/>
    <n v="65"/>
    <n v="45"/>
    <n v="85"/>
    <n v="20"/>
    <x v="0"/>
    <s v="Dine-In"/>
    <x v="1"/>
    <x v="0"/>
  </r>
  <r>
    <x v="246"/>
    <x v="181"/>
    <s v="Siddharth Jain"/>
    <x v="5"/>
    <x v="1"/>
    <x v="1"/>
    <n v="2"/>
    <n v="140"/>
    <n v="70"/>
    <n v="11"/>
    <n v="269"/>
    <n v="129"/>
    <x v="1"/>
    <s v="Dine-In"/>
    <x v="2"/>
    <x v="1"/>
  </r>
  <r>
    <x v="247"/>
    <x v="0"/>
    <s v="Mohit Agarwal"/>
    <x v="4"/>
    <x v="11"/>
    <x v="3"/>
    <n v="2"/>
    <n v="200"/>
    <n v="100"/>
    <n v="27"/>
    <n v="373"/>
    <n v="173"/>
    <x v="3"/>
    <s v="Delivery"/>
    <x v="1"/>
    <x v="2"/>
  </r>
  <r>
    <x v="248"/>
    <x v="182"/>
    <s v="Neha Gupta"/>
    <x v="2"/>
    <x v="7"/>
    <x v="3"/>
    <n v="5"/>
    <n v="150"/>
    <n v="75"/>
    <n v="35"/>
    <n v="715"/>
    <n v="340"/>
    <x v="2"/>
    <s v="Delivery"/>
    <x v="4"/>
    <x v="1"/>
  </r>
  <r>
    <x v="249"/>
    <x v="183"/>
    <s v="Nisha Sharma"/>
    <x v="3"/>
    <x v="9"/>
    <x v="1"/>
    <n v="5"/>
    <n v="120"/>
    <n v="60"/>
    <n v="19"/>
    <n v="581"/>
    <n v="281"/>
    <x v="2"/>
    <s v="Dine-In"/>
    <x v="2"/>
    <x v="1"/>
  </r>
  <r>
    <x v="250"/>
    <x v="184"/>
    <s v="Yash Patil"/>
    <x v="7"/>
    <x v="8"/>
    <x v="5"/>
    <n v="1"/>
    <n v="210"/>
    <n v="105"/>
    <n v="47"/>
    <n v="163"/>
    <n v="58"/>
    <x v="3"/>
    <s v="Delivery"/>
    <x v="1"/>
    <x v="1"/>
  </r>
  <r>
    <x v="251"/>
    <x v="61"/>
    <s v="Akash Naik"/>
    <x v="1"/>
    <x v="16"/>
    <x v="3"/>
    <n v="5"/>
    <n v="120"/>
    <n v="60"/>
    <n v="46"/>
    <n v="554"/>
    <n v="254"/>
    <x v="2"/>
    <s v="Takeaway"/>
    <x v="1"/>
    <x v="0"/>
  </r>
  <r>
    <x v="252"/>
    <x v="185"/>
    <s v="Harsh Vyas"/>
    <x v="2"/>
    <x v="3"/>
    <x v="3"/>
    <n v="2"/>
    <n v="180"/>
    <n v="90"/>
    <n v="25"/>
    <n v="335"/>
    <n v="155"/>
    <x v="4"/>
    <s v="Dine-In"/>
    <x v="7"/>
    <x v="0"/>
  </r>
  <r>
    <x v="253"/>
    <x v="186"/>
    <s v="Karan Joshi"/>
    <x v="8"/>
    <x v="2"/>
    <x v="2"/>
    <n v="5"/>
    <n v="110"/>
    <n v="55"/>
    <n v="5"/>
    <n v="545"/>
    <n v="270"/>
    <x v="4"/>
    <s v="Dine-In"/>
    <x v="7"/>
    <x v="0"/>
  </r>
  <r>
    <x v="254"/>
    <x v="107"/>
    <s v="Karan Joshi"/>
    <x v="9"/>
    <x v="0"/>
    <x v="0"/>
    <n v="2"/>
    <n v="240"/>
    <n v="120"/>
    <n v="19"/>
    <n v="461"/>
    <n v="221"/>
    <x v="4"/>
    <s v="Dine-In"/>
    <x v="7"/>
    <x v="1"/>
  </r>
  <r>
    <x v="255"/>
    <x v="181"/>
    <s v="Aditya Kumar"/>
    <x v="4"/>
    <x v="14"/>
    <x v="2"/>
    <n v="3"/>
    <n v="130"/>
    <n v="65"/>
    <n v="43"/>
    <n v="347"/>
    <n v="152"/>
    <x v="2"/>
    <s v="Delivery"/>
    <x v="3"/>
    <x v="0"/>
  </r>
  <r>
    <x v="256"/>
    <x v="89"/>
    <s v="Nisha Sharma"/>
    <x v="0"/>
    <x v="4"/>
    <x v="4"/>
    <n v="4"/>
    <n v="160"/>
    <n v="80"/>
    <n v="36"/>
    <n v="604"/>
    <n v="284"/>
    <x v="0"/>
    <s v="Delivery"/>
    <x v="9"/>
    <x v="2"/>
  </r>
  <r>
    <x v="257"/>
    <x v="187"/>
    <s v="Pooja Kulkarni"/>
    <x v="6"/>
    <x v="8"/>
    <x v="5"/>
    <n v="3"/>
    <n v="210"/>
    <n v="105"/>
    <n v="20"/>
    <n v="610"/>
    <n v="295"/>
    <x v="4"/>
    <s v="Takeaway"/>
    <x v="0"/>
    <x v="2"/>
  </r>
  <r>
    <x v="258"/>
    <x v="188"/>
    <s v="Manish Yadav"/>
    <x v="3"/>
    <x v="7"/>
    <x v="3"/>
    <n v="4"/>
    <n v="150"/>
    <n v="75"/>
    <n v="25"/>
    <n v="575"/>
    <n v="275"/>
    <x v="0"/>
    <s v="Dine-In"/>
    <x v="5"/>
    <x v="2"/>
  </r>
  <r>
    <x v="259"/>
    <x v="184"/>
    <s v="Aarav Sharma"/>
    <x v="3"/>
    <x v="4"/>
    <x v="4"/>
    <n v="3"/>
    <n v="160"/>
    <n v="80"/>
    <n v="40"/>
    <n v="440"/>
    <n v="200"/>
    <x v="2"/>
    <s v="Takeaway"/>
    <x v="2"/>
    <x v="1"/>
  </r>
  <r>
    <x v="260"/>
    <x v="189"/>
    <s v="Akash Naik"/>
    <x v="0"/>
    <x v="10"/>
    <x v="5"/>
    <n v="3"/>
    <n v="190"/>
    <n v="95"/>
    <n v="24"/>
    <n v="546"/>
    <n v="261"/>
    <x v="2"/>
    <s v="Takeaway"/>
    <x v="0"/>
    <x v="0"/>
  </r>
  <r>
    <x v="261"/>
    <x v="69"/>
    <s v="Manish Yadav"/>
    <x v="1"/>
    <x v="17"/>
    <x v="4"/>
    <n v="2"/>
    <n v="180"/>
    <n v="90"/>
    <n v="10"/>
    <n v="350"/>
    <n v="170"/>
    <x v="2"/>
    <s v="Dine-In"/>
    <x v="1"/>
    <x v="0"/>
  </r>
  <r>
    <x v="262"/>
    <x v="63"/>
    <s v="Shruti Rao"/>
    <x v="9"/>
    <x v="1"/>
    <x v="1"/>
    <n v="3"/>
    <n v="140"/>
    <n v="70"/>
    <n v="35"/>
    <n v="385"/>
    <n v="175"/>
    <x v="1"/>
    <s v="Takeaway"/>
    <x v="9"/>
    <x v="1"/>
  </r>
  <r>
    <x v="263"/>
    <x v="145"/>
    <s v="Mohit Agarwal"/>
    <x v="6"/>
    <x v="17"/>
    <x v="4"/>
    <n v="5"/>
    <n v="180"/>
    <n v="90"/>
    <n v="21"/>
    <n v="879"/>
    <n v="429"/>
    <x v="4"/>
    <s v="Delivery"/>
    <x v="7"/>
    <x v="0"/>
  </r>
  <r>
    <x v="264"/>
    <x v="144"/>
    <s v="Meera Desai"/>
    <x v="0"/>
    <x v="15"/>
    <x v="3"/>
    <n v="2"/>
    <n v="220"/>
    <n v="110"/>
    <n v="16"/>
    <n v="424"/>
    <n v="204"/>
    <x v="2"/>
    <s v="Delivery"/>
    <x v="7"/>
    <x v="2"/>
  </r>
  <r>
    <x v="265"/>
    <x v="190"/>
    <s v="Harsh Vyas"/>
    <x v="5"/>
    <x v="19"/>
    <x v="0"/>
    <n v="5"/>
    <n v="80"/>
    <n v="40"/>
    <n v="22"/>
    <n v="378"/>
    <n v="178"/>
    <x v="3"/>
    <s v="Dine-In"/>
    <x v="3"/>
    <x v="1"/>
  </r>
  <r>
    <x v="266"/>
    <x v="100"/>
    <s v="Shruti Rao"/>
    <x v="0"/>
    <x v="1"/>
    <x v="1"/>
    <n v="1"/>
    <n v="140"/>
    <n v="70"/>
    <n v="32"/>
    <n v="108"/>
    <n v="38"/>
    <x v="1"/>
    <s v="Delivery"/>
    <x v="0"/>
    <x v="2"/>
  </r>
  <r>
    <x v="267"/>
    <x v="191"/>
    <s v="Rahul Verma"/>
    <x v="5"/>
    <x v="1"/>
    <x v="1"/>
    <n v="5"/>
    <n v="140"/>
    <n v="70"/>
    <n v="29"/>
    <n v="671"/>
    <n v="321"/>
    <x v="0"/>
    <s v="Delivery"/>
    <x v="4"/>
    <x v="2"/>
  </r>
  <r>
    <x v="268"/>
    <x v="118"/>
    <s v="Harsh Vyas"/>
    <x v="3"/>
    <x v="16"/>
    <x v="3"/>
    <n v="5"/>
    <n v="120"/>
    <n v="60"/>
    <n v="30"/>
    <n v="570"/>
    <n v="270"/>
    <x v="1"/>
    <s v="Takeaway"/>
    <x v="3"/>
    <x v="2"/>
  </r>
  <r>
    <x v="269"/>
    <x v="177"/>
    <s v="Aditya Kumar"/>
    <x v="1"/>
    <x v="12"/>
    <x v="4"/>
    <n v="1"/>
    <n v="170"/>
    <n v="85"/>
    <n v="20"/>
    <n v="150"/>
    <n v="65"/>
    <x v="1"/>
    <s v="Dine-In"/>
    <x v="0"/>
    <x v="2"/>
  </r>
  <r>
    <x v="270"/>
    <x v="104"/>
    <s v="Shruti Rao"/>
    <x v="3"/>
    <x v="4"/>
    <x v="4"/>
    <n v="3"/>
    <n v="160"/>
    <n v="80"/>
    <n v="49"/>
    <n v="431"/>
    <n v="191"/>
    <x v="3"/>
    <s v="Takeaway"/>
    <x v="1"/>
    <x v="2"/>
  </r>
  <r>
    <x v="271"/>
    <x v="174"/>
    <s v="Karan Joshi"/>
    <x v="9"/>
    <x v="14"/>
    <x v="2"/>
    <n v="5"/>
    <n v="130"/>
    <n v="65"/>
    <n v="12"/>
    <n v="638"/>
    <n v="313"/>
    <x v="1"/>
    <s v="Delivery"/>
    <x v="8"/>
    <x v="2"/>
  </r>
  <r>
    <x v="272"/>
    <x v="25"/>
    <s v="Yash Patil"/>
    <x v="9"/>
    <x v="13"/>
    <x v="2"/>
    <n v="3"/>
    <n v="150"/>
    <n v="75"/>
    <n v="20"/>
    <n v="430"/>
    <n v="205"/>
    <x v="1"/>
    <s v="Takeaway"/>
    <x v="5"/>
    <x v="2"/>
  </r>
  <r>
    <x v="273"/>
    <x v="34"/>
    <s v="Akash Naik"/>
    <x v="2"/>
    <x v="11"/>
    <x v="3"/>
    <n v="1"/>
    <n v="200"/>
    <n v="100"/>
    <n v="32"/>
    <n v="168"/>
    <n v="68"/>
    <x v="3"/>
    <s v="Dine-In"/>
    <x v="6"/>
    <x v="1"/>
  </r>
  <r>
    <x v="274"/>
    <x v="192"/>
    <s v="Aditi Kapoor"/>
    <x v="0"/>
    <x v="19"/>
    <x v="0"/>
    <n v="4"/>
    <n v="80"/>
    <n v="40"/>
    <n v="23"/>
    <n v="297"/>
    <n v="137"/>
    <x v="3"/>
    <s v="Takeaway"/>
    <x v="8"/>
    <x v="2"/>
  </r>
  <r>
    <x v="275"/>
    <x v="22"/>
    <s v="Kavya Iyer"/>
    <x v="6"/>
    <x v="10"/>
    <x v="5"/>
    <n v="4"/>
    <n v="190"/>
    <n v="95"/>
    <n v="2"/>
    <n v="758"/>
    <n v="378"/>
    <x v="3"/>
    <s v="Takeaway"/>
    <x v="3"/>
    <x v="2"/>
  </r>
  <r>
    <x v="276"/>
    <x v="170"/>
    <s v="Yash Patil"/>
    <x v="1"/>
    <x v="10"/>
    <x v="5"/>
    <n v="1"/>
    <n v="190"/>
    <n v="95"/>
    <n v="1"/>
    <n v="189"/>
    <n v="94"/>
    <x v="1"/>
    <s v="Takeaway"/>
    <x v="3"/>
    <x v="2"/>
  </r>
  <r>
    <x v="277"/>
    <x v="179"/>
    <s v="Ritika Das"/>
    <x v="1"/>
    <x v="17"/>
    <x v="4"/>
    <n v="3"/>
    <n v="180"/>
    <n v="90"/>
    <n v="45"/>
    <n v="495"/>
    <n v="225"/>
    <x v="0"/>
    <s v="Delivery"/>
    <x v="4"/>
    <x v="0"/>
  </r>
  <r>
    <x v="278"/>
    <x v="43"/>
    <s v="Akash Naik"/>
    <x v="2"/>
    <x v="16"/>
    <x v="3"/>
    <n v="1"/>
    <n v="120"/>
    <n v="60"/>
    <n v="26"/>
    <n v="94"/>
    <n v="34"/>
    <x v="1"/>
    <s v="Dine-In"/>
    <x v="2"/>
    <x v="0"/>
  </r>
  <r>
    <x v="279"/>
    <x v="193"/>
    <s v="Kavya Iyer"/>
    <x v="9"/>
    <x v="10"/>
    <x v="5"/>
    <n v="2"/>
    <n v="190"/>
    <n v="95"/>
    <n v="17"/>
    <n v="363"/>
    <n v="173"/>
    <x v="4"/>
    <s v="Delivery"/>
    <x v="9"/>
    <x v="0"/>
  </r>
  <r>
    <x v="280"/>
    <x v="33"/>
    <s v="Simran Kaur"/>
    <x v="8"/>
    <x v="13"/>
    <x v="2"/>
    <n v="3"/>
    <n v="150"/>
    <n v="75"/>
    <n v="20"/>
    <n v="430"/>
    <n v="205"/>
    <x v="1"/>
    <s v="Delivery"/>
    <x v="2"/>
    <x v="0"/>
  </r>
  <r>
    <x v="281"/>
    <x v="194"/>
    <s v="Yash Patil"/>
    <x v="6"/>
    <x v="5"/>
    <x v="4"/>
    <n v="3"/>
    <n v="220"/>
    <n v="110"/>
    <n v="44"/>
    <n v="616"/>
    <n v="286"/>
    <x v="1"/>
    <s v="Delivery"/>
    <x v="4"/>
    <x v="1"/>
  </r>
  <r>
    <x v="282"/>
    <x v="37"/>
    <s v="Siddharth Jain"/>
    <x v="7"/>
    <x v="12"/>
    <x v="4"/>
    <n v="1"/>
    <n v="170"/>
    <n v="85"/>
    <n v="44"/>
    <n v="126"/>
    <n v="41"/>
    <x v="0"/>
    <s v="Takeaway"/>
    <x v="8"/>
    <x v="0"/>
  </r>
  <r>
    <x v="283"/>
    <x v="113"/>
    <s v="Sneha Nair"/>
    <x v="4"/>
    <x v="15"/>
    <x v="3"/>
    <n v="1"/>
    <n v="220"/>
    <n v="110"/>
    <n v="15"/>
    <n v="205"/>
    <n v="95"/>
    <x v="1"/>
    <s v="Takeaway"/>
    <x v="1"/>
    <x v="0"/>
  </r>
  <r>
    <x v="284"/>
    <x v="147"/>
    <s v="Tanvi Bhat"/>
    <x v="2"/>
    <x v="16"/>
    <x v="3"/>
    <n v="1"/>
    <n v="120"/>
    <n v="60"/>
    <n v="40"/>
    <n v="80"/>
    <n v="20"/>
    <x v="1"/>
    <s v="Delivery"/>
    <x v="7"/>
    <x v="0"/>
  </r>
  <r>
    <x v="285"/>
    <x v="131"/>
    <s v="Vikram Rao"/>
    <x v="9"/>
    <x v="1"/>
    <x v="1"/>
    <n v="3"/>
    <n v="140"/>
    <n v="70"/>
    <n v="29"/>
    <n v="391"/>
    <n v="181"/>
    <x v="1"/>
    <s v="Dine-In"/>
    <x v="7"/>
    <x v="0"/>
  </r>
  <r>
    <x v="286"/>
    <x v="43"/>
    <s v="Aman Mishra"/>
    <x v="4"/>
    <x v="17"/>
    <x v="4"/>
    <n v="3"/>
    <n v="180"/>
    <n v="90"/>
    <n v="7"/>
    <n v="533"/>
    <n v="263"/>
    <x v="4"/>
    <s v="Dine-In"/>
    <x v="0"/>
    <x v="1"/>
  </r>
  <r>
    <x v="287"/>
    <x v="14"/>
    <s v="Mohit Agarwal"/>
    <x v="7"/>
    <x v="2"/>
    <x v="2"/>
    <n v="2"/>
    <n v="110"/>
    <n v="55"/>
    <n v="35"/>
    <n v="185"/>
    <n v="75"/>
    <x v="4"/>
    <s v="Takeaway"/>
    <x v="4"/>
    <x v="0"/>
  </r>
  <r>
    <x v="288"/>
    <x v="68"/>
    <s v="Shruti Rao"/>
    <x v="8"/>
    <x v="6"/>
    <x v="0"/>
    <n v="3"/>
    <n v="100"/>
    <n v="50"/>
    <n v="23"/>
    <n v="277"/>
    <n v="127"/>
    <x v="3"/>
    <s v="Delivery"/>
    <x v="6"/>
    <x v="1"/>
  </r>
  <r>
    <x v="289"/>
    <x v="195"/>
    <s v="Ananya Singh"/>
    <x v="9"/>
    <x v="17"/>
    <x v="4"/>
    <n v="2"/>
    <n v="180"/>
    <n v="90"/>
    <n v="12"/>
    <n v="348"/>
    <n v="168"/>
    <x v="2"/>
    <s v="Delivery"/>
    <x v="8"/>
    <x v="2"/>
  </r>
  <r>
    <x v="290"/>
    <x v="196"/>
    <s v="Siddharth Jain"/>
    <x v="2"/>
    <x v="18"/>
    <x v="6"/>
    <n v="3"/>
    <n v="170"/>
    <n v="85"/>
    <n v="39"/>
    <n v="471"/>
    <n v="216"/>
    <x v="0"/>
    <s v="Delivery"/>
    <x v="4"/>
    <x v="0"/>
  </r>
  <r>
    <x v="291"/>
    <x v="197"/>
    <s v="Vikram Rao"/>
    <x v="9"/>
    <x v="10"/>
    <x v="5"/>
    <n v="2"/>
    <n v="190"/>
    <n v="95"/>
    <n v="48"/>
    <n v="332"/>
    <n v="142"/>
    <x v="3"/>
    <s v="Delivery"/>
    <x v="1"/>
    <x v="0"/>
  </r>
  <r>
    <x v="292"/>
    <x v="198"/>
    <s v="Shruti Rao"/>
    <x v="8"/>
    <x v="18"/>
    <x v="6"/>
    <n v="3"/>
    <n v="170"/>
    <n v="85"/>
    <n v="27"/>
    <n v="483"/>
    <n v="228"/>
    <x v="3"/>
    <s v="Delivery"/>
    <x v="3"/>
    <x v="2"/>
  </r>
  <r>
    <x v="293"/>
    <x v="103"/>
    <s v="Yash Patil"/>
    <x v="5"/>
    <x v="14"/>
    <x v="2"/>
    <n v="3"/>
    <n v="130"/>
    <n v="65"/>
    <n v="48"/>
    <n v="342"/>
    <n v="147"/>
    <x v="0"/>
    <s v="Delivery"/>
    <x v="2"/>
    <x v="0"/>
  </r>
  <r>
    <x v="294"/>
    <x v="199"/>
    <s v="Ananya Singh"/>
    <x v="6"/>
    <x v="19"/>
    <x v="0"/>
    <n v="5"/>
    <n v="80"/>
    <n v="40"/>
    <n v="33"/>
    <n v="367"/>
    <n v="167"/>
    <x v="0"/>
    <s v="Dine-In"/>
    <x v="9"/>
    <x v="1"/>
  </r>
  <r>
    <x v="295"/>
    <x v="152"/>
    <s v="Vikram Rao"/>
    <x v="0"/>
    <x v="14"/>
    <x v="2"/>
    <n v="2"/>
    <n v="130"/>
    <n v="65"/>
    <n v="49"/>
    <n v="211"/>
    <n v="81"/>
    <x v="1"/>
    <s v="Delivery"/>
    <x v="8"/>
    <x v="1"/>
  </r>
  <r>
    <x v="296"/>
    <x v="200"/>
    <s v="Yash Patil"/>
    <x v="6"/>
    <x v="8"/>
    <x v="5"/>
    <n v="1"/>
    <n v="210"/>
    <n v="105"/>
    <n v="45"/>
    <n v="165"/>
    <n v="60"/>
    <x v="0"/>
    <s v="Delivery"/>
    <x v="5"/>
    <x v="1"/>
  </r>
  <r>
    <x v="297"/>
    <x v="163"/>
    <s v="Ishita Roy"/>
    <x v="9"/>
    <x v="14"/>
    <x v="2"/>
    <n v="5"/>
    <n v="130"/>
    <n v="65"/>
    <n v="21"/>
    <n v="629"/>
    <n v="304"/>
    <x v="1"/>
    <s v="Dine-In"/>
    <x v="2"/>
    <x v="0"/>
  </r>
  <r>
    <x v="298"/>
    <x v="160"/>
    <s v="Aditya Kumar"/>
    <x v="7"/>
    <x v="18"/>
    <x v="6"/>
    <n v="1"/>
    <n v="170"/>
    <n v="85"/>
    <n v="2"/>
    <n v="168"/>
    <n v="83"/>
    <x v="2"/>
    <s v="Dine-In"/>
    <x v="5"/>
    <x v="1"/>
  </r>
  <r>
    <x v="299"/>
    <x v="8"/>
    <s v="Yash Patil"/>
    <x v="9"/>
    <x v="9"/>
    <x v="1"/>
    <n v="5"/>
    <n v="120"/>
    <n v="60"/>
    <n v="33"/>
    <n v="567"/>
    <n v="267"/>
    <x v="4"/>
    <s v="Takeaway"/>
    <x v="4"/>
    <x v="1"/>
  </r>
  <r>
    <x v="300"/>
    <x v="148"/>
    <s v="Vivek Nair"/>
    <x v="4"/>
    <x v="13"/>
    <x v="2"/>
    <n v="1"/>
    <n v="150"/>
    <n v="75"/>
    <n v="5"/>
    <n v="145"/>
    <n v="70"/>
    <x v="1"/>
    <s v="Delivery"/>
    <x v="8"/>
    <x v="2"/>
  </r>
  <r>
    <x v="301"/>
    <x v="201"/>
    <s v="Ananya Singh"/>
    <x v="8"/>
    <x v="2"/>
    <x v="2"/>
    <n v="3"/>
    <n v="110"/>
    <n v="55"/>
    <n v="43"/>
    <n v="287"/>
    <n v="122"/>
    <x v="3"/>
    <s v="Dine-In"/>
    <x v="4"/>
    <x v="1"/>
  </r>
  <r>
    <x v="302"/>
    <x v="202"/>
    <s v="Divya Shetty"/>
    <x v="8"/>
    <x v="18"/>
    <x v="6"/>
    <n v="2"/>
    <n v="170"/>
    <n v="85"/>
    <n v="9"/>
    <n v="331"/>
    <n v="161"/>
    <x v="4"/>
    <s v="Delivery"/>
    <x v="9"/>
    <x v="2"/>
  </r>
  <r>
    <x v="303"/>
    <x v="203"/>
    <s v="Ritika Das"/>
    <x v="6"/>
    <x v="8"/>
    <x v="5"/>
    <n v="5"/>
    <n v="210"/>
    <n v="105"/>
    <n v="9"/>
    <n v="1041"/>
    <n v="516"/>
    <x v="4"/>
    <s v="Delivery"/>
    <x v="5"/>
    <x v="2"/>
  </r>
  <r>
    <x v="304"/>
    <x v="204"/>
    <s v="Vikram Rao"/>
    <x v="4"/>
    <x v="6"/>
    <x v="0"/>
    <n v="1"/>
    <n v="100"/>
    <n v="50"/>
    <n v="36"/>
    <n v="64"/>
    <n v="14"/>
    <x v="1"/>
    <s v="Delivery"/>
    <x v="5"/>
    <x v="2"/>
  </r>
  <r>
    <x v="305"/>
    <x v="205"/>
    <s v="Aditya Kumar"/>
    <x v="9"/>
    <x v="4"/>
    <x v="4"/>
    <n v="5"/>
    <n v="160"/>
    <n v="80"/>
    <n v="48"/>
    <n v="752"/>
    <n v="352"/>
    <x v="0"/>
    <s v="Dine-In"/>
    <x v="7"/>
    <x v="0"/>
  </r>
  <r>
    <x v="306"/>
    <x v="206"/>
    <s v="Harsh Vyas"/>
    <x v="5"/>
    <x v="16"/>
    <x v="3"/>
    <n v="1"/>
    <n v="120"/>
    <n v="60"/>
    <n v="7"/>
    <n v="113"/>
    <n v="53"/>
    <x v="2"/>
    <s v="Delivery"/>
    <x v="9"/>
    <x v="2"/>
  </r>
  <r>
    <x v="307"/>
    <x v="207"/>
    <s v="Aditi Kapoor"/>
    <x v="5"/>
    <x v="7"/>
    <x v="3"/>
    <n v="1"/>
    <n v="150"/>
    <n v="75"/>
    <n v="24"/>
    <n v="126"/>
    <n v="51"/>
    <x v="0"/>
    <s v="Dine-In"/>
    <x v="4"/>
    <x v="0"/>
  </r>
  <r>
    <x v="308"/>
    <x v="178"/>
    <s v="Yash Patil"/>
    <x v="6"/>
    <x v="0"/>
    <x v="0"/>
    <n v="5"/>
    <n v="240"/>
    <n v="120"/>
    <n v="47"/>
    <n v="1153"/>
    <n v="553"/>
    <x v="2"/>
    <s v="Takeaway"/>
    <x v="9"/>
    <x v="0"/>
  </r>
  <r>
    <x v="309"/>
    <x v="90"/>
    <s v="Vivek Nair"/>
    <x v="5"/>
    <x v="3"/>
    <x v="3"/>
    <n v="3"/>
    <n v="180"/>
    <n v="90"/>
    <n v="4"/>
    <n v="536"/>
    <n v="266"/>
    <x v="3"/>
    <s v="Takeaway"/>
    <x v="7"/>
    <x v="0"/>
  </r>
  <r>
    <x v="310"/>
    <x v="174"/>
    <s v="Siddharth Jain"/>
    <x v="2"/>
    <x v="2"/>
    <x v="2"/>
    <n v="5"/>
    <n v="110"/>
    <n v="55"/>
    <n v="40"/>
    <n v="510"/>
    <n v="235"/>
    <x v="4"/>
    <s v="Delivery"/>
    <x v="6"/>
    <x v="1"/>
  </r>
  <r>
    <x v="311"/>
    <x v="208"/>
    <s v="Kavya Iyer"/>
    <x v="7"/>
    <x v="12"/>
    <x v="4"/>
    <n v="4"/>
    <n v="170"/>
    <n v="85"/>
    <n v="34"/>
    <n v="646"/>
    <n v="306"/>
    <x v="1"/>
    <s v="Delivery"/>
    <x v="7"/>
    <x v="0"/>
  </r>
  <r>
    <x v="312"/>
    <x v="138"/>
    <s v="Vikram Rao"/>
    <x v="7"/>
    <x v="8"/>
    <x v="5"/>
    <n v="2"/>
    <n v="210"/>
    <n v="105"/>
    <n v="46"/>
    <n v="374"/>
    <n v="164"/>
    <x v="4"/>
    <s v="Takeaway"/>
    <x v="4"/>
    <x v="2"/>
  </r>
  <r>
    <x v="313"/>
    <x v="209"/>
    <s v="Aman Mishra"/>
    <x v="6"/>
    <x v="5"/>
    <x v="4"/>
    <n v="4"/>
    <n v="220"/>
    <n v="110"/>
    <n v="19"/>
    <n v="861"/>
    <n v="421"/>
    <x v="1"/>
    <s v="Dine-In"/>
    <x v="6"/>
    <x v="2"/>
  </r>
  <r>
    <x v="314"/>
    <x v="166"/>
    <s v="Aman Mishra"/>
    <x v="4"/>
    <x v="7"/>
    <x v="3"/>
    <n v="3"/>
    <n v="150"/>
    <n v="75"/>
    <n v="1"/>
    <n v="449"/>
    <n v="224"/>
    <x v="3"/>
    <s v="Dine-In"/>
    <x v="0"/>
    <x v="2"/>
  </r>
  <r>
    <x v="315"/>
    <x v="210"/>
    <s v="Aditi Kapoor"/>
    <x v="1"/>
    <x v="2"/>
    <x v="2"/>
    <n v="3"/>
    <n v="110"/>
    <n v="55"/>
    <n v="21"/>
    <n v="309"/>
    <n v="144"/>
    <x v="4"/>
    <s v="Delivery"/>
    <x v="2"/>
    <x v="0"/>
  </r>
  <r>
    <x v="316"/>
    <x v="211"/>
    <s v="Vivek Nair"/>
    <x v="7"/>
    <x v="16"/>
    <x v="3"/>
    <n v="5"/>
    <n v="120"/>
    <n v="60"/>
    <n v="5"/>
    <n v="595"/>
    <n v="295"/>
    <x v="1"/>
    <s v="Delivery"/>
    <x v="1"/>
    <x v="0"/>
  </r>
  <r>
    <x v="317"/>
    <x v="89"/>
    <s v="Simran Kaur"/>
    <x v="3"/>
    <x v="13"/>
    <x v="2"/>
    <n v="3"/>
    <n v="150"/>
    <n v="75"/>
    <n v="27"/>
    <n v="423"/>
    <n v="198"/>
    <x v="3"/>
    <s v="Takeaway"/>
    <x v="9"/>
    <x v="0"/>
  </r>
  <r>
    <x v="318"/>
    <x v="212"/>
    <s v="Karan Joshi"/>
    <x v="0"/>
    <x v="16"/>
    <x v="3"/>
    <n v="3"/>
    <n v="120"/>
    <n v="60"/>
    <n v="6"/>
    <n v="354"/>
    <n v="174"/>
    <x v="1"/>
    <s v="Delivery"/>
    <x v="8"/>
    <x v="2"/>
  </r>
  <r>
    <x v="319"/>
    <x v="213"/>
    <s v="Rohan Mehta"/>
    <x v="4"/>
    <x v="9"/>
    <x v="1"/>
    <n v="5"/>
    <n v="120"/>
    <n v="60"/>
    <n v="23"/>
    <n v="577"/>
    <n v="277"/>
    <x v="4"/>
    <s v="Dine-In"/>
    <x v="6"/>
    <x v="2"/>
  </r>
  <r>
    <x v="320"/>
    <x v="4"/>
    <s v="Shruti Rao"/>
    <x v="0"/>
    <x v="10"/>
    <x v="5"/>
    <n v="4"/>
    <n v="190"/>
    <n v="95"/>
    <n v="16"/>
    <n v="744"/>
    <n v="364"/>
    <x v="0"/>
    <s v="Takeaway"/>
    <x v="4"/>
    <x v="2"/>
  </r>
  <r>
    <x v="321"/>
    <x v="202"/>
    <s v="Pooja Kulkarni"/>
    <x v="7"/>
    <x v="18"/>
    <x v="6"/>
    <n v="2"/>
    <n v="170"/>
    <n v="85"/>
    <n v="33"/>
    <n v="307"/>
    <n v="137"/>
    <x v="3"/>
    <s v="Takeaway"/>
    <x v="4"/>
    <x v="0"/>
  </r>
  <r>
    <x v="322"/>
    <x v="23"/>
    <s v="Akash Naik"/>
    <x v="7"/>
    <x v="10"/>
    <x v="5"/>
    <n v="1"/>
    <n v="190"/>
    <n v="95"/>
    <n v="25"/>
    <n v="165"/>
    <n v="70"/>
    <x v="2"/>
    <s v="Takeaway"/>
    <x v="9"/>
    <x v="1"/>
  </r>
  <r>
    <x v="323"/>
    <x v="179"/>
    <s v="Shruti Rao"/>
    <x v="4"/>
    <x v="17"/>
    <x v="4"/>
    <n v="1"/>
    <n v="180"/>
    <n v="90"/>
    <n v="2"/>
    <n v="178"/>
    <n v="88"/>
    <x v="3"/>
    <s v="Dine-In"/>
    <x v="0"/>
    <x v="2"/>
  </r>
  <r>
    <x v="324"/>
    <x v="214"/>
    <s v="Sneha Nair"/>
    <x v="9"/>
    <x v="17"/>
    <x v="4"/>
    <n v="2"/>
    <n v="180"/>
    <n v="90"/>
    <n v="15"/>
    <n v="345"/>
    <n v="165"/>
    <x v="3"/>
    <s v="Dine-In"/>
    <x v="5"/>
    <x v="1"/>
  </r>
  <r>
    <x v="325"/>
    <x v="1"/>
    <s v="Kavya Iyer"/>
    <x v="4"/>
    <x v="8"/>
    <x v="5"/>
    <n v="3"/>
    <n v="210"/>
    <n v="105"/>
    <n v="44"/>
    <n v="586"/>
    <n v="271"/>
    <x v="1"/>
    <s v="Delivery"/>
    <x v="1"/>
    <x v="1"/>
  </r>
  <r>
    <x v="326"/>
    <x v="215"/>
    <s v="Rohan Mehta"/>
    <x v="8"/>
    <x v="19"/>
    <x v="0"/>
    <n v="2"/>
    <n v="80"/>
    <n v="40"/>
    <n v="5"/>
    <n v="155"/>
    <n v="75"/>
    <x v="0"/>
    <s v="Delivery"/>
    <x v="9"/>
    <x v="1"/>
  </r>
  <r>
    <x v="327"/>
    <x v="114"/>
    <s v="Karan Joshi"/>
    <x v="4"/>
    <x v="15"/>
    <x v="3"/>
    <n v="4"/>
    <n v="220"/>
    <n v="110"/>
    <n v="30"/>
    <n v="850"/>
    <n v="410"/>
    <x v="3"/>
    <s v="Dine-In"/>
    <x v="5"/>
    <x v="2"/>
  </r>
  <r>
    <x v="328"/>
    <x v="11"/>
    <s v="Meera Desai"/>
    <x v="1"/>
    <x v="5"/>
    <x v="4"/>
    <n v="1"/>
    <n v="220"/>
    <n v="110"/>
    <n v="23"/>
    <n v="197"/>
    <n v="87"/>
    <x v="0"/>
    <s v="Dine-In"/>
    <x v="5"/>
    <x v="1"/>
  </r>
  <r>
    <x v="329"/>
    <x v="138"/>
    <s v="Harsh Vyas"/>
    <x v="9"/>
    <x v="14"/>
    <x v="2"/>
    <n v="1"/>
    <n v="130"/>
    <n v="65"/>
    <n v="49"/>
    <n v="81"/>
    <n v="16"/>
    <x v="0"/>
    <s v="Takeaway"/>
    <x v="2"/>
    <x v="2"/>
  </r>
  <r>
    <x v="330"/>
    <x v="62"/>
    <s v="Pooja Kulkarni"/>
    <x v="2"/>
    <x v="16"/>
    <x v="3"/>
    <n v="4"/>
    <n v="120"/>
    <n v="60"/>
    <n v="48"/>
    <n v="432"/>
    <n v="192"/>
    <x v="3"/>
    <s v="Delivery"/>
    <x v="2"/>
    <x v="1"/>
  </r>
  <r>
    <x v="331"/>
    <x v="212"/>
    <s v="Arjun Reddy"/>
    <x v="2"/>
    <x v="18"/>
    <x v="6"/>
    <n v="4"/>
    <n v="170"/>
    <n v="85"/>
    <n v="37"/>
    <n v="643"/>
    <n v="303"/>
    <x v="1"/>
    <s v="Takeaway"/>
    <x v="5"/>
    <x v="2"/>
  </r>
  <r>
    <x v="332"/>
    <x v="216"/>
    <s v="Manish Yadav"/>
    <x v="3"/>
    <x v="1"/>
    <x v="1"/>
    <n v="4"/>
    <n v="140"/>
    <n v="70"/>
    <n v="49"/>
    <n v="511"/>
    <n v="231"/>
    <x v="0"/>
    <s v="Delivery"/>
    <x v="3"/>
    <x v="0"/>
  </r>
  <r>
    <x v="333"/>
    <x v="157"/>
    <s v="Tanvi Bhat"/>
    <x v="7"/>
    <x v="6"/>
    <x v="0"/>
    <n v="3"/>
    <n v="100"/>
    <n v="50"/>
    <n v="40"/>
    <n v="260"/>
    <n v="110"/>
    <x v="3"/>
    <s v="Delivery"/>
    <x v="5"/>
    <x v="0"/>
  </r>
  <r>
    <x v="334"/>
    <x v="91"/>
    <s v="Simran Kaur"/>
    <x v="5"/>
    <x v="2"/>
    <x v="2"/>
    <n v="1"/>
    <n v="110"/>
    <n v="55"/>
    <n v="12"/>
    <n v="98"/>
    <n v="43"/>
    <x v="3"/>
    <s v="Delivery"/>
    <x v="0"/>
    <x v="1"/>
  </r>
  <r>
    <x v="335"/>
    <x v="91"/>
    <s v="Aditi Kapoor"/>
    <x v="0"/>
    <x v="2"/>
    <x v="2"/>
    <n v="2"/>
    <n v="110"/>
    <n v="55"/>
    <n v="32"/>
    <n v="188"/>
    <n v="78"/>
    <x v="2"/>
    <s v="Takeaway"/>
    <x v="4"/>
    <x v="1"/>
  </r>
  <r>
    <x v="336"/>
    <x v="217"/>
    <s v="Tanvi Bhat"/>
    <x v="2"/>
    <x v="4"/>
    <x v="4"/>
    <n v="4"/>
    <n v="160"/>
    <n v="80"/>
    <n v="30"/>
    <n v="610"/>
    <n v="290"/>
    <x v="1"/>
    <s v="Takeaway"/>
    <x v="6"/>
    <x v="2"/>
  </r>
  <r>
    <x v="337"/>
    <x v="218"/>
    <s v="Ritika Das"/>
    <x v="5"/>
    <x v="19"/>
    <x v="0"/>
    <n v="3"/>
    <n v="80"/>
    <n v="40"/>
    <n v="47"/>
    <n v="193"/>
    <n v="73"/>
    <x v="4"/>
    <s v="Takeaway"/>
    <x v="1"/>
    <x v="1"/>
  </r>
  <r>
    <x v="338"/>
    <x v="219"/>
    <s v="Tanvi Bhat"/>
    <x v="9"/>
    <x v="13"/>
    <x v="2"/>
    <n v="5"/>
    <n v="150"/>
    <n v="75"/>
    <n v="15"/>
    <n v="735"/>
    <n v="360"/>
    <x v="0"/>
    <s v="Takeaway"/>
    <x v="1"/>
    <x v="1"/>
  </r>
  <r>
    <x v="339"/>
    <x v="220"/>
    <s v="Neha Gupta"/>
    <x v="2"/>
    <x v="17"/>
    <x v="4"/>
    <n v="5"/>
    <n v="180"/>
    <n v="90"/>
    <n v="26"/>
    <n v="874"/>
    <n v="424"/>
    <x v="4"/>
    <s v="Dine-In"/>
    <x v="3"/>
    <x v="1"/>
  </r>
  <r>
    <x v="340"/>
    <x v="144"/>
    <s v="Neha Gupta"/>
    <x v="6"/>
    <x v="12"/>
    <x v="4"/>
    <n v="2"/>
    <n v="170"/>
    <n v="85"/>
    <n v="8"/>
    <n v="332"/>
    <n v="162"/>
    <x v="4"/>
    <s v="Delivery"/>
    <x v="8"/>
    <x v="2"/>
  </r>
  <r>
    <x v="341"/>
    <x v="108"/>
    <s v="Mohit Agarwal"/>
    <x v="1"/>
    <x v="8"/>
    <x v="5"/>
    <n v="2"/>
    <n v="210"/>
    <n v="105"/>
    <n v="29"/>
    <n v="391"/>
    <n v="181"/>
    <x v="3"/>
    <s v="Delivery"/>
    <x v="3"/>
    <x v="2"/>
  </r>
  <r>
    <x v="342"/>
    <x v="41"/>
    <s v="Aman Mishra"/>
    <x v="2"/>
    <x v="17"/>
    <x v="4"/>
    <n v="4"/>
    <n v="180"/>
    <n v="90"/>
    <n v="19"/>
    <n v="701"/>
    <n v="341"/>
    <x v="0"/>
    <s v="Delivery"/>
    <x v="2"/>
    <x v="0"/>
  </r>
  <r>
    <x v="343"/>
    <x v="145"/>
    <s v="Pooja Kulkarni"/>
    <x v="0"/>
    <x v="12"/>
    <x v="4"/>
    <n v="1"/>
    <n v="170"/>
    <n v="85"/>
    <n v="29"/>
    <n v="141"/>
    <n v="56"/>
    <x v="3"/>
    <s v="Delivery"/>
    <x v="1"/>
    <x v="0"/>
  </r>
  <r>
    <x v="344"/>
    <x v="160"/>
    <s v="Harsh Vyas"/>
    <x v="6"/>
    <x v="9"/>
    <x v="1"/>
    <n v="2"/>
    <n v="120"/>
    <n v="60"/>
    <n v="12"/>
    <n v="228"/>
    <n v="108"/>
    <x v="4"/>
    <s v="Dine-In"/>
    <x v="0"/>
    <x v="0"/>
  </r>
  <r>
    <x v="345"/>
    <x v="16"/>
    <s v="Aarav Sharma"/>
    <x v="0"/>
    <x v="1"/>
    <x v="1"/>
    <n v="2"/>
    <n v="140"/>
    <n v="70"/>
    <n v="43"/>
    <n v="237"/>
    <n v="97"/>
    <x v="1"/>
    <s v="Delivery"/>
    <x v="2"/>
    <x v="2"/>
  </r>
  <r>
    <x v="346"/>
    <x v="221"/>
    <s v="Aditi Kapoor"/>
    <x v="0"/>
    <x v="14"/>
    <x v="2"/>
    <n v="2"/>
    <n v="130"/>
    <n v="65"/>
    <n v="29"/>
    <n v="231"/>
    <n v="101"/>
    <x v="2"/>
    <s v="Dine-In"/>
    <x v="4"/>
    <x v="2"/>
  </r>
  <r>
    <x v="347"/>
    <x v="141"/>
    <s v="Karan Joshi"/>
    <x v="0"/>
    <x v="4"/>
    <x v="4"/>
    <n v="2"/>
    <n v="160"/>
    <n v="80"/>
    <n v="49"/>
    <n v="271"/>
    <n v="111"/>
    <x v="2"/>
    <s v="Delivery"/>
    <x v="0"/>
    <x v="2"/>
  </r>
  <r>
    <x v="348"/>
    <x v="222"/>
    <s v="Ritika Das"/>
    <x v="2"/>
    <x v="3"/>
    <x v="3"/>
    <n v="3"/>
    <n v="180"/>
    <n v="90"/>
    <n v="9"/>
    <n v="531"/>
    <n v="261"/>
    <x v="1"/>
    <s v="Dine-In"/>
    <x v="5"/>
    <x v="0"/>
  </r>
  <r>
    <x v="349"/>
    <x v="170"/>
    <s v="Aditya Kumar"/>
    <x v="6"/>
    <x v="14"/>
    <x v="2"/>
    <n v="5"/>
    <n v="130"/>
    <n v="65"/>
    <n v="49"/>
    <n v="601"/>
    <n v="276"/>
    <x v="2"/>
    <s v="Takeaway"/>
    <x v="1"/>
    <x v="1"/>
  </r>
  <r>
    <x v="350"/>
    <x v="223"/>
    <s v="Siddharth Jain"/>
    <x v="2"/>
    <x v="11"/>
    <x v="3"/>
    <n v="4"/>
    <n v="200"/>
    <n v="100"/>
    <n v="3"/>
    <n v="797"/>
    <n v="397"/>
    <x v="0"/>
    <s v="Takeaway"/>
    <x v="5"/>
    <x v="1"/>
  </r>
  <r>
    <x v="351"/>
    <x v="224"/>
    <s v="Siddharth Jain"/>
    <x v="0"/>
    <x v="10"/>
    <x v="5"/>
    <n v="5"/>
    <n v="190"/>
    <n v="95"/>
    <n v="4"/>
    <n v="946"/>
    <n v="471"/>
    <x v="0"/>
    <s v="Delivery"/>
    <x v="6"/>
    <x v="2"/>
  </r>
  <r>
    <x v="352"/>
    <x v="53"/>
    <s v="Mohit Agarwal"/>
    <x v="3"/>
    <x v="0"/>
    <x v="0"/>
    <n v="1"/>
    <n v="240"/>
    <n v="120"/>
    <n v="4"/>
    <n v="236"/>
    <n v="116"/>
    <x v="4"/>
    <s v="Takeaway"/>
    <x v="5"/>
    <x v="2"/>
  </r>
  <r>
    <x v="353"/>
    <x v="142"/>
    <s v="Vivek Nair"/>
    <x v="2"/>
    <x v="10"/>
    <x v="5"/>
    <n v="3"/>
    <n v="190"/>
    <n v="95"/>
    <n v="34"/>
    <n v="536"/>
    <n v="251"/>
    <x v="2"/>
    <s v="Takeaway"/>
    <x v="3"/>
    <x v="2"/>
  </r>
  <r>
    <x v="354"/>
    <x v="109"/>
    <s v="Rohan Mehta"/>
    <x v="3"/>
    <x v="2"/>
    <x v="2"/>
    <n v="5"/>
    <n v="110"/>
    <n v="55"/>
    <n v="16"/>
    <n v="534"/>
    <n v="259"/>
    <x v="0"/>
    <s v="Takeaway"/>
    <x v="0"/>
    <x v="1"/>
  </r>
  <r>
    <x v="355"/>
    <x v="44"/>
    <s v="Aarav Sharma"/>
    <x v="3"/>
    <x v="4"/>
    <x v="4"/>
    <n v="1"/>
    <n v="160"/>
    <n v="80"/>
    <n v="7"/>
    <n v="153"/>
    <n v="73"/>
    <x v="1"/>
    <s v="Dine-In"/>
    <x v="9"/>
    <x v="1"/>
  </r>
  <r>
    <x v="356"/>
    <x v="225"/>
    <s v="Manish Yadav"/>
    <x v="6"/>
    <x v="13"/>
    <x v="2"/>
    <n v="4"/>
    <n v="150"/>
    <n v="75"/>
    <n v="37"/>
    <n v="563"/>
    <n v="263"/>
    <x v="0"/>
    <s v="Takeaway"/>
    <x v="9"/>
    <x v="1"/>
  </r>
  <r>
    <x v="357"/>
    <x v="23"/>
    <s v="Simran Kaur"/>
    <x v="8"/>
    <x v="4"/>
    <x v="4"/>
    <n v="3"/>
    <n v="160"/>
    <n v="80"/>
    <n v="22"/>
    <n v="458"/>
    <n v="218"/>
    <x v="3"/>
    <s v="Takeaway"/>
    <x v="9"/>
    <x v="1"/>
  </r>
  <r>
    <x v="358"/>
    <x v="150"/>
    <s v="Sneha Nair"/>
    <x v="6"/>
    <x v="10"/>
    <x v="5"/>
    <n v="3"/>
    <n v="190"/>
    <n v="95"/>
    <n v="13"/>
    <n v="557"/>
    <n v="272"/>
    <x v="0"/>
    <s v="Takeaway"/>
    <x v="5"/>
    <x v="1"/>
  </r>
  <r>
    <x v="359"/>
    <x v="151"/>
    <s v="Karan Joshi"/>
    <x v="4"/>
    <x v="17"/>
    <x v="4"/>
    <n v="2"/>
    <n v="180"/>
    <n v="90"/>
    <n v="25"/>
    <n v="335"/>
    <n v="155"/>
    <x v="3"/>
    <s v="Takeaway"/>
    <x v="8"/>
    <x v="2"/>
  </r>
  <r>
    <x v="360"/>
    <x v="95"/>
    <s v="Aditi Kapoor"/>
    <x v="2"/>
    <x v="3"/>
    <x v="3"/>
    <n v="2"/>
    <n v="180"/>
    <n v="90"/>
    <n v="42"/>
    <n v="318"/>
    <n v="138"/>
    <x v="0"/>
    <s v="Delivery"/>
    <x v="9"/>
    <x v="0"/>
  </r>
  <r>
    <x v="361"/>
    <x v="226"/>
    <s v="Ritika Das"/>
    <x v="3"/>
    <x v="11"/>
    <x v="3"/>
    <n v="3"/>
    <n v="200"/>
    <n v="100"/>
    <n v="10"/>
    <n v="590"/>
    <n v="290"/>
    <x v="3"/>
    <s v="Dine-In"/>
    <x v="4"/>
    <x v="2"/>
  </r>
  <r>
    <x v="362"/>
    <x v="116"/>
    <s v="Mohit Agarwal"/>
    <x v="1"/>
    <x v="0"/>
    <x v="0"/>
    <n v="2"/>
    <n v="240"/>
    <n v="120"/>
    <n v="8"/>
    <n v="472"/>
    <n v="232"/>
    <x v="2"/>
    <s v="Takeaway"/>
    <x v="9"/>
    <x v="0"/>
  </r>
  <r>
    <x v="363"/>
    <x v="62"/>
    <s v="Neha Gupta"/>
    <x v="1"/>
    <x v="14"/>
    <x v="2"/>
    <n v="1"/>
    <n v="130"/>
    <n v="65"/>
    <n v="9"/>
    <n v="121"/>
    <n v="56"/>
    <x v="1"/>
    <s v="Takeaway"/>
    <x v="0"/>
    <x v="0"/>
  </r>
  <r>
    <x v="364"/>
    <x v="227"/>
    <s v="Mohit Agarwal"/>
    <x v="9"/>
    <x v="18"/>
    <x v="6"/>
    <n v="4"/>
    <n v="170"/>
    <n v="85"/>
    <n v="25"/>
    <n v="655"/>
    <n v="315"/>
    <x v="1"/>
    <s v="Delivery"/>
    <x v="0"/>
    <x v="2"/>
  </r>
  <r>
    <x v="365"/>
    <x v="69"/>
    <s v="Harsh Vyas"/>
    <x v="6"/>
    <x v="8"/>
    <x v="5"/>
    <n v="4"/>
    <n v="210"/>
    <n v="105"/>
    <n v="14"/>
    <n v="826"/>
    <n v="406"/>
    <x v="3"/>
    <s v="Delivery"/>
    <x v="9"/>
    <x v="2"/>
  </r>
  <r>
    <x v="366"/>
    <x v="24"/>
    <s v="Aditya Kumar"/>
    <x v="2"/>
    <x v="1"/>
    <x v="1"/>
    <n v="3"/>
    <n v="140"/>
    <n v="70"/>
    <n v="36"/>
    <n v="384"/>
    <n v="174"/>
    <x v="0"/>
    <s v="Dine-In"/>
    <x v="6"/>
    <x v="0"/>
  </r>
  <r>
    <x v="367"/>
    <x v="228"/>
    <s v="Manish Yadav"/>
    <x v="5"/>
    <x v="8"/>
    <x v="5"/>
    <n v="3"/>
    <n v="210"/>
    <n v="105"/>
    <n v="27"/>
    <n v="603"/>
    <n v="288"/>
    <x v="1"/>
    <s v="Delivery"/>
    <x v="9"/>
    <x v="1"/>
  </r>
  <r>
    <x v="368"/>
    <x v="220"/>
    <s v="Aditya Kumar"/>
    <x v="9"/>
    <x v="11"/>
    <x v="3"/>
    <n v="4"/>
    <n v="200"/>
    <n v="100"/>
    <n v="7"/>
    <n v="793"/>
    <n v="393"/>
    <x v="2"/>
    <s v="Delivery"/>
    <x v="7"/>
    <x v="2"/>
  </r>
  <r>
    <x v="369"/>
    <x v="135"/>
    <s v="Divya Shetty"/>
    <x v="4"/>
    <x v="12"/>
    <x v="4"/>
    <n v="1"/>
    <n v="170"/>
    <n v="85"/>
    <n v="1"/>
    <n v="169"/>
    <n v="84"/>
    <x v="4"/>
    <s v="Takeaway"/>
    <x v="6"/>
    <x v="2"/>
  </r>
  <r>
    <x v="370"/>
    <x v="229"/>
    <s v="Mohit Agarwal"/>
    <x v="2"/>
    <x v="15"/>
    <x v="3"/>
    <n v="2"/>
    <n v="220"/>
    <n v="110"/>
    <n v="28"/>
    <n v="412"/>
    <n v="192"/>
    <x v="2"/>
    <s v="Delivery"/>
    <x v="5"/>
    <x v="0"/>
  </r>
  <r>
    <x v="371"/>
    <x v="167"/>
    <s v="Ananya Singh"/>
    <x v="8"/>
    <x v="16"/>
    <x v="3"/>
    <n v="5"/>
    <n v="120"/>
    <n v="60"/>
    <n v="11"/>
    <n v="589"/>
    <n v="289"/>
    <x v="2"/>
    <s v="Dine-In"/>
    <x v="9"/>
    <x v="2"/>
  </r>
  <r>
    <x v="372"/>
    <x v="50"/>
    <s v="Ishita Roy"/>
    <x v="0"/>
    <x v="11"/>
    <x v="3"/>
    <n v="2"/>
    <n v="200"/>
    <n v="100"/>
    <n v="23"/>
    <n v="377"/>
    <n v="177"/>
    <x v="1"/>
    <s v="Delivery"/>
    <x v="7"/>
    <x v="2"/>
  </r>
  <r>
    <x v="373"/>
    <x v="178"/>
    <s v="Nisha Sharma"/>
    <x v="3"/>
    <x v="2"/>
    <x v="2"/>
    <n v="1"/>
    <n v="110"/>
    <n v="55"/>
    <n v="34"/>
    <n v="76"/>
    <n v="21"/>
    <x v="2"/>
    <s v="Takeaway"/>
    <x v="7"/>
    <x v="2"/>
  </r>
  <r>
    <x v="374"/>
    <x v="98"/>
    <s v="Aman Mishra"/>
    <x v="8"/>
    <x v="16"/>
    <x v="3"/>
    <n v="2"/>
    <n v="120"/>
    <n v="60"/>
    <n v="31"/>
    <n v="209"/>
    <n v="89"/>
    <x v="4"/>
    <s v="Dine-In"/>
    <x v="6"/>
    <x v="1"/>
  </r>
  <r>
    <x v="375"/>
    <x v="230"/>
    <s v="Pooja Kulkarni"/>
    <x v="9"/>
    <x v="4"/>
    <x v="4"/>
    <n v="2"/>
    <n v="160"/>
    <n v="80"/>
    <n v="5"/>
    <n v="315"/>
    <n v="155"/>
    <x v="1"/>
    <s v="Dine-In"/>
    <x v="0"/>
    <x v="0"/>
  </r>
  <r>
    <x v="376"/>
    <x v="75"/>
    <s v="Yash Patil"/>
    <x v="7"/>
    <x v="12"/>
    <x v="4"/>
    <n v="3"/>
    <n v="170"/>
    <n v="85"/>
    <n v="39"/>
    <n v="471"/>
    <n v="216"/>
    <x v="1"/>
    <s v="Dine-In"/>
    <x v="7"/>
    <x v="1"/>
  </r>
  <r>
    <x v="377"/>
    <x v="231"/>
    <s v="Rohan Mehta"/>
    <x v="2"/>
    <x v="1"/>
    <x v="1"/>
    <n v="2"/>
    <n v="140"/>
    <n v="70"/>
    <n v="14"/>
    <n v="266"/>
    <n v="126"/>
    <x v="3"/>
    <s v="Delivery"/>
    <x v="6"/>
    <x v="1"/>
  </r>
  <r>
    <x v="378"/>
    <x v="94"/>
    <s v="Nisha Sharma"/>
    <x v="1"/>
    <x v="12"/>
    <x v="4"/>
    <n v="3"/>
    <n v="170"/>
    <n v="85"/>
    <n v="10"/>
    <n v="500"/>
    <n v="245"/>
    <x v="3"/>
    <s v="Dine-In"/>
    <x v="3"/>
    <x v="2"/>
  </r>
  <r>
    <x v="379"/>
    <x v="117"/>
    <s v="Kavya Iyer"/>
    <x v="0"/>
    <x v="8"/>
    <x v="5"/>
    <n v="4"/>
    <n v="210"/>
    <n v="105"/>
    <n v="43"/>
    <n v="797"/>
    <n v="377"/>
    <x v="4"/>
    <s v="Takeaway"/>
    <x v="0"/>
    <x v="0"/>
  </r>
  <r>
    <x v="380"/>
    <x v="232"/>
    <s v="Sneha Nair"/>
    <x v="0"/>
    <x v="16"/>
    <x v="3"/>
    <n v="5"/>
    <n v="120"/>
    <n v="60"/>
    <n v="49"/>
    <n v="551"/>
    <n v="251"/>
    <x v="1"/>
    <s v="Delivery"/>
    <x v="6"/>
    <x v="2"/>
  </r>
  <r>
    <x v="381"/>
    <x v="228"/>
    <s v="Pooja Kulkarni"/>
    <x v="9"/>
    <x v="5"/>
    <x v="4"/>
    <n v="5"/>
    <n v="220"/>
    <n v="110"/>
    <n v="25"/>
    <n v="1075"/>
    <n v="525"/>
    <x v="1"/>
    <s v="Delivery"/>
    <x v="2"/>
    <x v="1"/>
  </r>
  <r>
    <x v="382"/>
    <x v="232"/>
    <s v="Rahul Verma"/>
    <x v="6"/>
    <x v="2"/>
    <x v="2"/>
    <n v="3"/>
    <n v="110"/>
    <n v="55"/>
    <n v="17"/>
    <n v="313"/>
    <n v="148"/>
    <x v="4"/>
    <s v="Dine-In"/>
    <x v="5"/>
    <x v="0"/>
  </r>
  <r>
    <x v="383"/>
    <x v="14"/>
    <s v="Harsh Vyas"/>
    <x v="1"/>
    <x v="8"/>
    <x v="5"/>
    <n v="1"/>
    <n v="210"/>
    <n v="105"/>
    <n v="50"/>
    <n v="160"/>
    <n v="55"/>
    <x v="4"/>
    <s v="Dine-In"/>
    <x v="0"/>
    <x v="1"/>
  </r>
  <r>
    <x v="384"/>
    <x v="233"/>
    <s v="Akash Naik"/>
    <x v="4"/>
    <x v="17"/>
    <x v="4"/>
    <n v="2"/>
    <n v="180"/>
    <n v="90"/>
    <n v="48"/>
    <n v="312"/>
    <n v="132"/>
    <x v="2"/>
    <s v="Dine-In"/>
    <x v="7"/>
    <x v="0"/>
  </r>
  <r>
    <x v="385"/>
    <x v="178"/>
    <s v="Priya Patel"/>
    <x v="6"/>
    <x v="19"/>
    <x v="0"/>
    <n v="2"/>
    <n v="80"/>
    <n v="40"/>
    <n v="47"/>
    <n v="113"/>
    <n v="33"/>
    <x v="2"/>
    <s v="Delivery"/>
    <x v="6"/>
    <x v="0"/>
  </r>
  <r>
    <x v="386"/>
    <x v="9"/>
    <s v="Nisha Sharma"/>
    <x v="5"/>
    <x v="13"/>
    <x v="2"/>
    <n v="2"/>
    <n v="150"/>
    <n v="75"/>
    <n v="32"/>
    <n v="268"/>
    <n v="118"/>
    <x v="0"/>
    <s v="Takeaway"/>
    <x v="0"/>
    <x v="2"/>
  </r>
  <r>
    <x v="387"/>
    <x v="219"/>
    <s v="Karan Joshi"/>
    <x v="9"/>
    <x v="5"/>
    <x v="4"/>
    <n v="1"/>
    <n v="220"/>
    <n v="110"/>
    <n v="47"/>
    <n v="173"/>
    <n v="63"/>
    <x v="3"/>
    <s v="Takeaway"/>
    <x v="8"/>
    <x v="2"/>
  </r>
  <r>
    <x v="388"/>
    <x v="20"/>
    <s v="Kavya Iyer"/>
    <x v="0"/>
    <x v="12"/>
    <x v="4"/>
    <n v="1"/>
    <n v="170"/>
    <n v="85"/>
    <n v="1"/>
    <n v="169"/>
    <n v="84"/>
    <x v="2"/>
    <s v="Takeaway"/>
    <x v="3"/>
    <x v="2"/>
  </r>
  <r>
    <x v="389"/>
    <x v="76"/>
    <s v="Siddharth Jain"/>
    <x v="5"/>
    <x v="2"/>
    <x v="2"/>
    <n v="4"/>
    <n v="110"/>
    <n v="55"/>
    <n v="36"/>
    <n v="404"/>
    <n v="184"/>
    <x v="4"/>
    <s v="Takeaway"/>
    <x v="8"/>
    <x v="2"/>
  </r>
  <r>
    <x v="390"/>
    <x v="192"/>
    <s v="Sneha Nair"/>
    <x v="4"/>
    <x v="14"/>
    <x v="2"/>
    <n v="2"/>
    <n v="130"/>
    <n v="65"/>
    <n v="7"/>
    <n v="253"/>
    <n v="123"/>
    <x v="3"/>
    <s v="Takeaway"/>
    <x v="8"/>
    <x v="0"/>
  </r>
  <r>
    <x v="391"/>
    <x v="234"/>
    <s v="Akash Naik"/>
    <x v="6"/>
    <x v="8"/>
    <x v="5"/>
    <n v="1"/>
    <n v="210"/>
    <n v="105"/>
    <n v="18"/>
    <n v="192"/>
    <n v="87"/>
    <x v="0"/>
    <s v="Takeaway"/>
    <x v="8"/>
    <x v="2"/>
  </r>
  <r>
    <x v="392"/>
    <x v="196"/>
    <s v="Kavya Iyer"/>
    <x v="2"/>
    <x v="2"/>
    <x v="2"/>
    <n v="5"/>
    <n v="110"/>
    <n v="55"/>
    <n v="32"/>
    <n v="518"/>
    <n v="243"/>
    <x v="1"/>
    <s v="Delivery"/>
    <x v="7"/>
    <x v="2"/>
  </r>
  <r>
    <x v="393"/>
    <x v="235"/>
    <s v="Ritika Das"/>
    <x v="8"/>
    <x v="16"/>
    <x v="3"/>
    <n v="5"/>
    <n v="120"/>
    <n v="60"/>
    <n v="11"/>
    <n v="589"/>
    <n v="289"/>
    <x v="0"/>
    <s v="Delivery"/>
    <x v="9"/>
    <x v="0"/>
  </r>
  <r>
    <x v="394"/>
    <x v="144"/>
    <s v="Rahul Verma"/>
    <x v="3"/>
    <x v="3"/>
    <x v="3"/>
    <n v="5"/>
    <n v="180"/>
    <n v="90"/>
    <n v="44"/>
    <n v="856"/>
    <n v="406"/>
    <x v="4"/>
    <s v="Takeaway"/>
    <x v="6"/>
    <x v="0"/>
  </r>
  <r>
    <x v="395"/>
    <x v="236"/>
    <s v="Rahul Verma"/>
    <x v="7"/>
    <x v="17"/>
    <x v="4"/>
    <n v="3"/>
    <n v="180"/>
    <n v="90"/>
    <n v="19"/>
    <n v="521"/>
    <n v="251"/>
    <x v="3"/>
    <s v="Takeaway"/>
    <x v="0"/>
    <x v="1"/>
  </r>
  <r>
    <x v="396"/>
    <x v="205"/>
    <s v="Neha Gupta"/>
    <x v="9"/>
    <x v="0"/>
    <x v="0"/>
    <n v="3"/>
    <n v="240"/>
    <n v="120"/>
    <n v="31"/>
    <n v="689"/>
    <n v="329"/>
    <x v="4"/>
    <s v="Dine-In"/>
    <x v="9"/>
    <x v="2"/>
  </r>
  <r>
    <x v="397"/>
    <x v="29"/>
    <s v="Karan Joshi"/>
    <x v="7"/>
    <x v="16"/>
    <x v="3"/>
    <n v="5"/>
    <n v="120"/>
    <n v="60"/>
    <n v="42"/>
    <n v="558"/>
    <n v="258"/>
    <x v="0"/>
    <s v="Takeaway"/>
    <x v="8"/>
    <x v="1"/>
  </r>
  <r>
    <x v="398"/>
    <x v="237"/>
    <s v="Tanvi Bhat"/>
    <x v="5"/>
    <x v="11"/>
    <x v="3"/>
    <n v="2"/>
    <n v="200"/>
    <n v="100"/>
    <n v="25"/>
    <n v="375"/>
    <n v="175"/>
    <x v="4"/>
    <s v="Takeaway"/>
    <x v="4"/>
    <x v="0"/>
  </r>
  <r>
    <x v="399"/>
    <x v="238"/>
    <s v="Aman Mishra"/>
    <x v="1"/>
    <x v="13"/>
    <x v="2"/>
    <n v="3"/>
    <n v="150"/>
    <n v="75"/>
    <n v="38"/>
    <n v="412"/>
    <n v="187"/>
    <x v="3"/>
    <s v="Dine-In"/>
    <x v="9"/>
    <x v="2"/>
  </r>
  <r>
    <x v="400"/>
    <x v="163"/>
    <s v="Aman Mishra"/>
    <x v="0"/>
    <x v="3"/>
    <x v="3"/>
    <n v="1"/>
    <n v="180"/>
    <n v="90"/>
    <n v="13"/>
    <n v="167"/>
    <n v="77"/>
    <x v="2"/>
    <s v="Delivery"/>
    <x v="1"/>
    <x v="0"/>
  </r>
  <r>
    <x v="401"/>
    <x v="239"/>
    <s v="Yash Patil"/>
    <x v="6"/>
    <x v="13"/>
    <x v="2"/>
    <n v="2"/>
    <n v="150"/>
    <n v="75"/>
    <n v="33"/>
    <n v="267"/>
    <n v="117"/>
    <x v="0"/>
    <s v="Delivery"/>
    <x v="4"/>
    <x v="2"/>
  </r>
  <r>
    <x v="402"/>
    <x v="152"/>
    <s v="Rahul Verma"/>
    <x v="7"/>
    <x v="13"/>
    <x v="2"/>
    <n v="2"/>
    <n v="150"/>
    <n v="75"/>
    <n v="46"/>
    <n v="254"/>
    <n v="104"/>
    <x v="0"/>
    <s v="Delivery"/>
    <x v="0"/>
    <x v="0"/>
  </r>
  <r>
    <x v="403"/>
    <x v="109"/>
    <s v="Aditi Kapoor"/>
    <x v="3"/>
    <x v="19"/>
    <x v="0"/>
    <n v="3"/>
    <n v="80"/>
    <n v="40"/>
    <n v="13"/>
    <n v="227"/>
    <n v="107"/>
    <x v="2"/>
    <s v="Delivery"/>
    <x v="7"/>
    <x v="0"/>
  </r>
  <r>
    <x v="404"/>
    <x v="232"/>
    <s v="Arjun Reddy"/>
    <x v="0"/>
    <x v="5"/>
    <x v="4"/>
    <n v="1"/>
    <n v="220"/>
    <n v="110"/>
    <n v="49"/>
    <n v="171"/>
    <n v="61"/>
    <x v="2"/>
    <s v="Takeaway"/>
    <x v="2"/>
    <x v="2"/>
  </r>
  <r>
    <x v="405"/>
    <x v="59"/>
    <s v="Rohan Mehta"/>
    <x v="1"/>
    <x v="12"/>
    <x v="4"/>
    <n v="3"/>
    <n v="170"/>
    <n v="85"/>
    <n v="8"/>
    <n v="502"/>
    <n v="247"/>
    <x v="3"/>
    <s v="Takeaway"/>
    <x v="8"/>
    <x v="2"/>
  </r>
  <r>
    <x v="406"/>
    <x v="240"/>
    <s v="Kavya Iyer"/>
    <x v="4"/>
    <x v="19"/>
    <x v="0"/>
    <n v="2"/>
    <n v="80"/>
    <n v="40"/>
    <n v="43"/>
    <n v="117"/>
    <n v="37"/>
    <x v="2"/>
    <s v="Takeaway"/>
    <x v="1"/>
    <x v="1"/>
  </r>
  <r>
    <x v="407"/>
    <x v="111"/>
    <s v="Sneha Nair"/>
    <x v="6"/>
    <x v="8"/>
    <x v="5"/>
    <n v="4"/>
    <n v="210"/>
    <n v="105"/>
    <n v="14"/>
    <n v="826"/>
    <n v="406"/>
    <x v="0"/>
    <s v="Takeaway"/>
    <x v="2"/>
    <x v="0"/>
  </r>
  <r>
    <x v="408"/>
    <x v="149"/>
    <s v="Aditya Kumar"/>
    <x v="7"/>
    <x v="9"/>
    <x v="1"/>
    <n v="1"/>
    <n v="120"/>
    <n v="60"/>
    <n v="28"/>
    <n v="92"/>
    <n v="32"/>
    <x v="1"/>
    <s v="Delivery"/>
    <x v="8"/>
    <x v="2"/>
  </r>
  <r>
    <x v="409"/>
    <x v="29"/>
    <s v="Meera Desai"/>
    <x v="6"/>
    <x v="15"/>
    <x v="3"/>
    <n v="4"/>
    <n v="220"/>
    <n v="110"/>
    <n v="32"/>
    <n v="848"/>
    <n v="408"/>
    <x v="0"/>
    <s v="Takeaway"/>
    <x v="6"/>
    <x v="0"/>
  </r>
  <r>
    <x v="410"/>
    <x v="241"/>
    <s v="Aman Mishra"/>
    <x v="3"/>
    <x v="9"/>
    <x v="1"/>
    <n v="1"/>
    <n v="120"/>
    <n v="60"/>
    <n v="10"/>
    <n v="110"/>
    <n v="50"/>
    <x v="0"/>
    <s v="Delivery"/>
    <x v="3"/>
    <x v="0"/>
  </r>
  <r>
    <x v="411"/>
    <x v="65"/>
    <s v="Karan Joshi"/>
    <x v="3"/>
    <x v="19"/>
    <x v="0"/>
    <n v="5"/>
    <n v="80"/>
    <n v="40"/>
    <n v="3"/>
    <n v="397"/>
    <n v="197"/>
    <x v="2"/>
    <s v="Dine-In"/>
    <x v="8"/>
    <x v="0"/>
  </r>
  <r>
    <x v="412"/>
    <x v="194"/>
    <s v="Aditi Kapoor"/>
    <x v="0"/>
    <x v="8"/>
    <x v="5"/>
    <n v="2"/>
    <n v="210"/>
    <n v="105"/>
    <n v="27"/>
    <n v="393"/>
    <n v="183"/>
    <x v="2"/>
    <s v="Dine-In"/>
    <x v="9"/>
    <x v="2"/>
  </r>
  <r>
    <x v="413"/>
    <x v="96"/>
    <s v="Shruti Rao"/>
    <x v="1"/>
    <x v="18"/>
    <x v="6"/>
    <n v="1"/>
    <n v="170"/>
    <n v="85"/>
    <n v="47"/>
    <n v="123"/>
    <n v="38"/>
    <x v="3"/>
    <s v="Dine-In"/>
    <x v="6"/>
    <x v="2"/>
  </r>
  <r>
    <x v="414"/>
    <x v="242"/>
    <s v="Shruti Rao"/>
    <x v="3"/>
    <x v="0"/>
    <x v="0"/>
    <n v="3"/>
    <n v="240"/>
    <n v="120"/>
    <n v="23"/>
    <n v="697"/>
    <n v="337"/>
    <x v="0"/>
    <s v="Delivery"/>
    <x v="4"/>
    <x v="1"/>
  </r>
  <r>
    <x v="415"/>
    <x v="43"/>
    <s v="Ritika Das"/>
    <x v="2"/>
    <x v="12"/>
    <x v="4"/>
    <n v="2"/>
    <n v="170"/>
    <n v="85"/>
    <n v="36"/>
    <n v="304"/>
    <n v="134"/>
    <x v="4"/>
    <s v="Dine-In"/>
    <x v="6"/>
    <x v="1"/>
  </r>
  <r>
    <x v="416"/>
    <x v="130"/>
    <s v="Pooja Kulkarni"/>
    <x v="1"/>
    <x v="8"/>
    <x v="5"/>
    <n v="1"/>
    <n v="210"/>
    <n v="105"/>
    <n v="11"/>
    <n v="199"/>
    <n v="94"/>
    <x v="1"/>
    <s v="Takeaway"/>
    <x v="8"/>
    <x v="0"/>
  </r>
  <r>
    <x v="417"/>
    <x v="148"/>
    <s v="Shruti Rao"/>
    <x v="5"/>
    <x v="12"/>
    <x v="4"/>
    <n v="4"/>
    <n v="170"/>
    <n v="85"/>
    <n v="12"/>
    <n v="668"/>
    <n v="328"/>
    <x v="0"/>
    <s v="Delivery"/>
    <x v="1"/>
    <x v="2"/>
  </r>
  <r>
    <x v="418"/>
    <x v="223"/>
    <s v="Rohan Mehta"/>
    <x v="8"/>
    <x v="8"/>
    <x v="5"/>
    <n v="3"/>
    <n v="210"/>
    <n v="105"/>
    <n v="13"/>
    <n v="617"/>
    <n v="302"/>
    <x v="1"/>
    <s v="Dine-In"/>
    <x v="3"/>
    <x v="2"/>
  </r>
  <r>
    <x v="419"/>
    <x v="183"/>
    <s v="Rohan Mehta"/>
    <x v="5"/>
    <x v="5"/>
    <x v="4"/>
    <n v="2"/>
    <n v="220"/>
    <n v="110"/>
    <n v="44"/>
    <n v="396"/>
    <n v="176"/>
    <x v="1"/>
    <s v="Dine-In"/>
    <x v="7"/>
    <x v="1"/>
  </r>
  <r>
    <x v="420"/>
    <x v="66"/>
    <s v="Ritika Das"/>
    <x v="6"/>
    <x v="19"/>
    <x v="0"/>
    <n v="5"/>
    <n v="80"/>
    <n v="40"/>
    <n v="7"/>
    <n v="393"/>
    <n v="193"/>
    <x v="0"/>
    <s v="Dine-In"/>
    <x v="0"/>
    <x v="1"/>
  </r>
  <r>
    <x v="421"/>
    <x v="72"/>
    <s v="Pooja Kulkarni"/>
    <x v="9"/>
    <x v="12"/>
    <x v="4"/>
    <n v="1"/>
    <n v="170"/>
    <n v="85"/>
    <n v="0"/>
    <n v="170"/>
    <n v="85"/>
    <x v="2"/>
    <s v="Delivery"/>
    <x v="5"/>
    <x v="0"/>
  </r>
  <r>
    <x v="422"/>
    <x v="222"/>
    <s v="Vikram Rao"/>
    <x v="8"/>
    <x v="11"/>
    <x v="3"/>
    <n v="1"/>
    <n v="200"/>
    <n v="100"/>
    <n v="33"/>
    <n v="167"/>
    <n v="67"/>
    <x v="4"/>
    <s v="Dine-In"/>
    <x v="3"/>
    <x v="0"/>
  </r>
  <r>
    <x v="423"/>
    <x v="119"/>
    <s v="Harsh Vyas"/>
    <x v="0"/>
    <x v="4"/>
    <x v="4"/>
    <n v="2"/>
    <n v="160"/>
    <n v="80"/>
    <n v="19"/>
    <n v="301"/>
    <n v="141"/>
    <x v="1"/>
    <s v="Takeaway"/>
    <x v="8"/>
    <x v="0"/>
  </r>
  <r>
    <x v="424"/>
    <x v="175"/>
    <s v="Aditi Kapoor"/>
    <x v="9"/>
    <x v="7"/>
    <x v="3"/>
    <n v="3"/>
    <n v="150"/>
    <n v="75"/>
    <n v="16"/>
    <n v="434"/>
    <n v="209"/>
    <x v="3"/>
    <s v="Delivery"/>
    <x v="2"/>
    <x v="2"/>
  </r>
  <r>
    <x v="425"/>
    <x v="206"/>
    <s v="Tanvi Bhat"/>
    <x v="9"/>
    <x v="3"/>
    <x v="3"/>
    <n v="5"/>
    <n v="180"/>
    <n v="90"/>
    <n v="28"/>
    <n v="872"/>
    <n v="422"/>
    <x v="0"/>
    <s v="Takeaway"/>
    <x v="9"/>
    <x v="2"/>
  </r>
  <r>
    <x v="426"/>
    <x v="243"/>
    <s v="Arjun Reddy"/>
    <x v="9"/>
    <x v="6"/>
    <x v="0"/>
    <n v="4"/>
    <n v="100"/>
    <n v="50"/>
    <n v="19"/>
    <n v="381"/>
    <n v="181"/>
    <x v="4"/>
    <s v="Takeaway"/>
    <x v="1"/>
    <x v="1"/>
  </r>
  <r>
    <x v="427"/>
    <x v="244"/>
    <s v="Neha Gupta"/>
    <x v="1"/>
    <x v="1"/>
    <x v="1"/>
    <n v="4"/>
    <n v="140"/>
    <n v="70"/>
    <n v="28"/>
    <n v="532"/>
    <n v="252"/>
    <x v="4"/>
    <s v="Delivery"/>
    <x v="0"/>
    <x v="1"/>
  </r>
  <r>
    <x v="428"/>
    <x v="164"/>
    <s v="Pooja Kulkarni"/>
    <x v="2"/>
    <x v="19"/>
    <x v="0"/>
    <n v="4"/>
    <n v="80"/>
    <n v="40"/>
    <n v="16"/>
    <n v="304"/>
    <n v="144"/>
    <x v="4"/>
    <s v="Delivery"/>
    <x v="2"/>
    <x v="1"/>
  </r>
  <r>
    <x v="429"/>
    <x v="245"/>
    <s v="Akash Naik"/>
    <x v="4"/>
    <x v="15"/>
    <x v="3"/>
    <n v="5"/>
    <n v="220"/>
    <n v="110"/>
    <n v="42"/>
    <n v="1058"/>
    <n v="508"/>
    <x v="1"/>
    <s v="Delivery"/>
    <x v="8"/>
    <x v="1"/>
  </r>
  <r>
    <x v="430"/>
    <x v="246"/>
    <s v="Shruti Rao"/>
    <x v="6"/>
    <x v="4"/>
    <x v="4"/>
    <n v="2"/>
    <n v="160"/>
    <n v="80"/>
    <n v="46"/>
    <n v="274"/>
    <n v="114"/>
    <x v="1"/>
    <s v="Takeaway"/>
    <x v="6"/>
    <x v="1"/>
  </r>
  <r>
    <x v="431"/>
    <x v="190"/>
    <s v="Akash Naik"/>
    <x v="7"/>
    <x v="19"/>
    <x v="0"/>
    <n v="2"/>
    <n v="80"/>
    <n v="40"/>
    <n v="28"/>
    <n v="132"/>
    <n v="52"/>
    <x v="2"/>
    <s v="Delivery"/>
    <x v="0"/>
    <x v="0"/>
  </r>
  <r>
    <x v="432"/>
    <x v="119"/>
    <s v="Simran Kaur"/>
    <x v="9"/>
    <x v="5"/>
    <x v="4"/>
    <n v="1"/>
    <n v="220"/>
    <n v="110"/>
    <n v="33"/>
    <n v="187"/>
    <n v="77"/>
    <x v="3"/>
    <s v="Dine-In"/>
    <x v="9"/>
    <x v="1"/>
  </r>
  <r>
    <x v="433"/>
    <x v="243"/>
    <s v="Ishita Roy"/>
    <x v="0"/>
    <x v="1"/>
    <x v="1"/>
    <n v="2"/>
    <n v="140"/>
    <n v="70"/>
    <n v="17"/>
    <n v="263"/>
    <n v="123"/>
    <x v="1"/>
    <s v="Dine-In"/>
    <x v="2"/>
    <x v="1"/>
  </r>
  <r>
    <x v="434"/>
    <x v="39"/>
    <s v="Mohit Agarwal"/>
    <x v="1"/>
    <x v="16"/>
    <x v="3"/>
    <n v="2"/>
    <n v="120"/>
    <n v="60"/>
    <n v="11"/>
    <n v="229"/>
    <n v="109"/>
    <x v="0"/>
    <s v="Delivery"/>
    <x v="7"/>
    <x v="1"/>
  </r>
  <r>
    <x v="435"/>
    <x v="31"/>
    <s v="Meera Desai"/>
    <x v="5"/>
    <x v="11"/>
    <x v="3"/>
    <n v="4"/>
    <n v="200"/>
    <n v="100"/>
    <n v="20"/>
    <n v="780"/>
    <n v="380"/>
    <x v="0"/>
    <s v="Delivery"/>
    <x v="1"/>
    <x v="2"/>
  </r>
  <r>
    <x v="436"/>
    <x v="171"/>
    <s v="Ishita Roy"/>
    <x v="3"/>
    <x v="10"/>
    <x v="5"/>
    <n v="4"/>
    <n v="190"/>
    <n v="95"/>
    <n v="7"/>
    <n v="753"/>
    <n v="373"/>
    <x v="4"/>
    <s v="Takeaway"/>
    <x v="3"/>
    <x v="1"/>
  </r>
  <r>
    <x v="437"/>
    <x v="132"/>
    <s v="Aditya Kumar"/>
    <x v="6"/>
    <x v="6"/>
    <x v="0"/>
    <n v="4"/>
    <n v="100"/>
    <n v="50"/>
    <n v="46"/>
    <n v="354"/>
    <n v="154"/>
    <x v="0"/>
    <s v="Takeaway"/>
    <x v="1"/>
    <x v="2"/>
  </r>
  <r>
    <x v="438"/>
    <x v="247"/>
    <s v="Tanvi Bhat"/>
    <x v="5"/>
    <x v="6"/>
    <x v="0"/>
    <n v="3"/>
    <n v="100"/>
    <n v="50"/>
    <n v="9"/>
    <n v="291"/>
    <n v="141"/>
    <x v="3"/>
    <s v="Dine-In"/>
    <x v="1"/>
    <x v="1"/>
  </r>
  <r>
    <x v="439"/>
    <x v="31"/>
    <s v="Karan Joshi"/>
    <x v="3"/>
    <x v="17"/>
    <x v="4"/>
    <n v="2"/>
    <n v="180"/>
    <n v="90"/>
    <n v="7"/>
    <n v="353"/>
    <n v="173"/>
    <x v="2"/>
    <s v="Takeaway"/>
    <x v="2"/>
    <x v="1"/>
  </r>
  <r>
    <x v="440"/>
    <x v="248"/>
    <s v="Ananya Singh"/>
    <x v="1"/>
    <x v="17"/>
    <x v="4"/>
    <n v="5"/>
    <n v="180"/>
    <n v="90"/>
    <n v="41"/>
    <n v="859"/>
    <n v="409"/>
    <x v="3"/>
    <s v="Dine-In"/>
    <x v="5"/>
    <x v="0"/>
  </r>
  <r>
    <x v="441"/>
    <x v="154"/>
    <s v="Rohan Mehta"/>
    <x v="1"/>
    <x v="13"/>
    <x v="2"/>
    <n v="5"/>
    <n v="150"/>
    <n v="75"/>
    <n v="22"/>
    <n v="728"/>
    <n v="353"/>
    <x v="3"/>
    <s v="Delivery"/>
    <x v="2"/>
    <x v="0"/>
  </r>
  <r>
    <x v="442"/>
    <x v="180"/>
    <s v="Akash Naik"/>
    <x v="4"/>
    <x v="14"/>
    <x v="2"/>
    <n v="3"/>
    <n v="130"/>
    <n v="65"/>
    <n v="20"/>
    <n v="370"/>
    <n v="175"/>
    <x v="0"/>
    <s v="Dine-In"/>
    <x v="5"/>
    <x v="1"/>
  </r>
  <r>
    <x v="443"/>
    <x v="226"/>
    <s v="Aarav Sharma"/>
    <x v="7"/>
    <x v="7"/>
    <x v="3"/>
    <n v="4"/>
    <n v="150"/>
    <n v="75"/>
    <n v="24"/>
    <n v="576"/>
    <n v="276"/>
    <x v="3"/>
    <s v="Delivery"/>
    <x v="3"/>
    <x v="1"/>
  </r>
  <r>
    <x v="444"/>
    <x v="160"/>
    <s v="Manish Yadav"/>
    <x v="3"/>
    <x v="7"/>
    <x v="3"/>
    <n v="3"/>
    <n v="150"/>
    <n v="75"/>
    <n v="42"/>
    <n v="408"/>
    <n v="183"/>
    <x v="4"/>
    <s v="Delivery"/>
    <x v="0"/>
    <x v="2"/>
  </r>
  <r>
    <x v="445"/>
    <x v="154"/>
    <s v="Aditi Kapoor"/>
    <x v="7"/>
    <x v="12"/>
    <x v="4"/>
    <n v="5"/>
    <n v="170"/>
    <n v="85"/>
    <n v="4"/>
    <n v="846"/>
    <n v="421"/>
    <x v="4"/>
    <s v="Takeaway"/>
    <x v="5"/>
    <x v="0"/>
  </r>
  <r>
    <x v="446"/>
    <x v="10"/>
    <s v="Tanvi Bhat"/>
    <x v="8"/>
    <x v="12"/>
    <x v="4"/>
    <n v="1"/>
    <n v="170"/>
    <n v="85"/>
    <n v="35"/>
    <n v="135"/>
    <n v="50"/>
    <x v="1"/>
    <s v="Delivery"/>
    <x v="7"/>
    <x v="1"/>
  </r>
  <r>
    <x v="447"/>
    <x v="220"/>
    <s v="Ritika Das"/>
    <x v="8"/>
    <x v="12"/>
    <x v="4"/>
    <n v="5"/>
    <n v="170"/>
    <n v="85"/>
    <n v="34"/>
    <n v="816"/>
    <n v="391"/>
    <x v="1"/>
    <s v="Delivery"/>
    <x v="2"/>
    <x v="0"/>
  </r>
  <r>
    <x v="448"/>
    <x v="249"/>
    <s v="Vikram Rao"/>
    <x v="4"/>
    <x v="13"/>
    <x v="2"/>
    <n v="4"/>
    <n v="150"/>
    <n v="75"/>
    <n v="33"/>
    <n v="567"/>
    <n v="267"/>
    <x v="2"/>
    <s v="Dine-In"/>
    <x v="6"/>
    <x v="1"/>
  </r>
  <r>
    <x v="449"/>
    <x v="148"/>
    <s v="Aditi Kapoor"/>
    <x v="5"/>
    <x v="13"/>
    <x v="2"/>
    <n v="4"/>
    <n v="150"/>
    <n v="75"/>
    <n v="11"/>
    <n v="589"/>
    <n v="289"/>
    <x v="2"/>
    <s v="Dine-In"/>
    <x v="5"/>
    <x v="0"/>
  </r>
  <r>
    <x v="450"/>
    <x v="16"/>
    <s v="Pooja Kulkarni"/>
    <x v="9"/>
    <x v="19"/>
    <x v="0"/>
    <n v="5"/>
    <n v="80"/>
    <n v="40"/>
    <n v="12"/>
    <n v="388"/>
    <n v="188"/>
    <x v="3"/>
    <s v="Delivery"/>
    <x v="0"/>
    <x v="0"/>
  </r>
  <r>
    <x v="451"/>
    <x v="75"/>
    <s v="Pooja Kulkarni"/>
    <x v="8"/>
    <x v="3"/>
    <x v="3"/>
    <n v="3"/>
    <n v="180"/>
    <n v="90"/>
    <n v="8"/>
    <n v="532"/>
    <n v="262"/>
    <x v="2"/>
    <s v="Delivery"/>
    <x v="2"/>
    <x v="1"/>
  </r>
  <r>
    <x v="452"/>
    <x v="170"/>
    <s v="Pooja Kulkarni"/>
    <x v="4"/>
    <x v="4"/>
    <x v="4"/>
    <n v="3"/>
    <n v="160"/>
    <n v="80"/>
    <n v="11"/>
    <n v="469"/>
    <n v="229"/>
    <x v="3"/>
    <s v="Takeaway"/>
    <x v="3"/>
    <x v="2"/>
  </r>
  <r>
    <x v="453"/>
    <x v="185"/>
    <s v="Karan Joshi"/>
    <x v="2"/>
    <x v="18"/>
    <x v="6"/>
    <n v="5"/>
    <n v="170"/>
    <n v="85"/>
    <n v="44"/>
    <n v="806"/>
    <n v="381"/>
    <x v="1"/>
    <s v="Delivery"/>
    <x v="1"/>
    <x v="0"/>
  </r>
  <r>
    <x v="454"/>
    <x v="55"/>
    <s v="Siddharth Jain"/>
    <x v="1"/>
    <x v="11"/>
    <x v="3"/>
    <n v="2"/>
    <n v="200"/>
    <n v="100"/>
    <n v="50"/>
    <n v="350"/>
    <n v="150"/>
    <x v="1"/>
    <s v="Delivery"/>
    <x v="6"/>
    <x v="1"/>
  </r>
  <r>
    <x v="455"/>
    <x v="250"/>
    <s v="Ishita Roy"/>
    <x v="2"/>
    <x v="13"/>
    <x v="2"/>
    <n v="1"/>
    <n v="150"/>
    <n v="75"/>
    <n v="4"/>
    <n v="146"/>
    <n v="71"/>
    <x v="0"/>
    <s v="Dine-In"/>
    <x v="7"/>
    <x v="2"/>
  </r>
  <r>
    <x v="456"/>
    <x v="251"/>
    <s v="Ritika Das"/>
    <x v="8"/>
    <x v="10"/>
    <x v="5"/>
    <n v="3"/>
    <n v="190"/>
    <n v="95"/>
    <n v="26"/>
    <n v="544"/>
    <n v="259"/>
    <x v="3"/>
    <s v="Delivery"/>
    <x v="0"/>
    <x v="1"/>
  </r>
  <r>
    <x v="457"/>
    <x v="167"/>
    <s v="Meera Desai"/>
    <x v="4"/>
    <x v="17"/>
    <x v="4"/>
    <n v="2"/>
    <n v="180"/>
    <n v="90"/>
    <n v="9"/>
    <n v="351"/>
    <n v="171"/>
    <x v="3"/>
    <s v="Dine-In"/>
    <x v="4"/>
    <x v="1"/>
  </r>
  <r>
    <x v="458"/>
    <x v="84"/>
    <s v="Nisha Sharma"/>
    <x v="2"/>
    <x v="19"/>
    <x v="0"/>
    <n v="4"/>
    <n v="80"/>
    <n v="40"/>
    <n v="14"/>
    <n v="306"/>
    <n v="146"/>
    <x v="4"/>
    <s v="Takeaway"/>
    <x v="1"/>
    <x v="1"/>
  </r>
  <r>
    <x v="459"/>
    <x v="198"/>
    <s v="Simran Kaur"/>
    <x v="8"/>
    <x v="13"/>
    <x v="2"/>
    <n v="4"/>
    <n v="150"/>
    <n v="75"/>
    <n v="30"/>
    <n v="570"/>
    <n v="270"/>
    <x v="1"/>
    <s v="Takeaway"/>
    <x v="6"/>
    <x v="1"/>
  </r>
  <r>
    <x v="460"/>
    <x v="252"/>
    <s v="Nisha Sharma"/>
    <x v="5"/>
    <x v="10"/>
    <x v="5"/>
    <n v="5"/>
    <n v="190"/>
    <n v="95"/>
    <n v="21"/>
    <n v="929"/>
    <n v="454"/>
    <x v="1"/>
    <s v="Dine-In"/>
    <x v="9"/>
    <x v="1"/>
  </r>
  <r>
    <x v="461"/>
    <x v="200"/>
    <s v="Pooja Kulkarni"/>
    <x v="6"/>
    <x v="10"/>
    <x v="5"/>
    <n v="4"/>
    <n v="190"/>
    <n v="95"/>
    <n v="46"/>
    <n v="714"/>
    <n v="334"/>
    <x v="4"/>
    <s v="Delivery"/>
    <x v="2"/>
    <x v="2"/>
  </r>
  <r>
    <x v="462"/>
    <x v="126"/>
    <s v="Karan Joshi"/>
    <x v="1"/>
    <x v="10"/>
    <x v="5"/>
    <n v="4"/>
    <n v="190"/>
    <n v="95"/>
    <n v="11"/>
    <n v="749"/>
    <n v="369"/>
    <x v="1"/>
    <s v="Dine-In"/>
    <x v="0"/>
    <x v="1"/>
  </r>
  <r>
    <x v="463"/>
    <x v="9"/>
    <s v="Meera Desai"/>
    <x v="6"/>
    <x v="19"/>
    <x v="0"/>
    <n v="2"/>
    <n v="80"/>
    <n v="40"/>
    <n v="15"/>
    <n v="145"/>
    <n v="65"/>
    <x v="4"/>
    <s v="Takeaway"/>
    <x v="7"/>
    <x v="2"/>
  </r>
  <r>
    <x v="464"/>
    <x v="150"/>
    <s v="Manish Yadav"/>
    <x v="2"/>
    <x v="18"/>
    <x v="6"/>
    <n v="1"/>
    <n v="170"/>
    <n v="85"/>
    <n v="43"/>
    <n v="127"/>
    <n v="42"/>
    <x v="4"/>
    <s v="Takeaway"/>
    <x v="5"/>
    <x v="2"/>
  </r>
  <r>
    <x v="465"/>
    <x v="59"/>
    <s v="Aarav Sharma"/>
    <x v="8"/>
    <x v="0"/>
    <x v="0"/>
    <n v="4"/>
    <n v="240"/>
    <n v="120"/>
    <n v="15"/>
    <n v="945"/>
    <n v="465"/>
    <x v="2"/>
    <s v="Dine-In"/>
    <x v="5"/>
    <x v="1"/>
  </r>
  <r>
    <x v="466"/>
    <x v="140"/>
    <s v="Meera Desai"/>
    <x v="2"/>
    <x v="15"/>
    <x v="3"/>
    <n v="3"/>
    <n v="220"/>
    <n v="110"/>
    <n v="24"/>
    <n v="636"/>
    <n v="306"/>
    <x v="0"/>
    <s v="Delivery"/>
    <x v="3"/>
    <x v="0"/>
  </r>
  <r>
    <x v="467"/>
    <x v="217"/>
    <s v="Priya Patel"/>
    <x v="7"/>
    <x v="1"/>
    <x v="1"/>
    <n v="5"/>
    <n v="140"/>
    <n v="70"/>
    <n v="49"/>
    <n v="651"/>
    <n v="301"/>
    <x v="1"/>
    <s v="Takeaway"/>
    <x v="0"/>
    <x v="2"/>
  </r>
  <r>
    <x v="468"/>
    <x v="57"/>
    <s v="Arjun Reddy"/>
    <x v="3"/>
    <x v="12"/>
    <x v="4"/>
    <n v="4"/>
    <n v="170"/>
    <n v="85"/>
    <n v="7"/>
    <n v="673"/>
    <n v="333"/>
    <x v="0"/>
    <s v="Takeaway"/>
    <x v="4"/>
    <x v="2"/>
  </r>
  <r>
    <x v="469"/>
    <x v="216"/>
    <s v="Kavya Iyer"/>
    <x v="6"/>
    <x v="13"/>
    <x v="2"/>
    <n v="1"/>
    <n v="150"/>
    <n v="75"/>
    <n v="38"/>
    <n v="112"/>
    <n v="37"/>
    <x v="3"/>
    <s v="Dine-In"/>
    <x v="9"/>
    <x v="0"/>
  </r>
  <r>
    <x v="470"/>
    <x v="34"/>
    <s v="Divya Shetty"/>
    <x v="2"/>
    <x v="5"/>
    <x v="4"/>
    <n v="1"/>
    <n v="220"/>
    <n v="110"/>
    <n v="14"/>
    <n v="206"/>
    <n v="96"/>
    <x v="1"/>
    <s v="Dine-In"/>
    <x v="8"/>
    <x v="0"/>
  </r>
  <r>
    <x v="471"/>
    <x v="62"/>
    <s v="Shruti Rao"/>
    <x v="6"/>
    <x v="1"/>
    <x v="1"/>
    <n v="4"/>
    <n v="140"/>
    <n v="70"/>
    <n v="50"/>
    <n v="510"/>
    <n v="230"/>
    <x v="2"/>
    <s v="Takeaway"/>
    <x v="7"/>
    <x v="0"/>
  </r>
  <r>
    <x v="472"/>
    <x v="202"/>
    <s v="Akash Naik"/>
    <x v="9"/>
    <x v="9"/>
    <x v="1"/>
    <n v="2"/>
    <n v="120"/>
    <n v="60"/>
    <n v="31"/>
    <n v="209"/>
    <n v="89"/>
    <x v="4"/>
    <s v="Dine-In"/>
    <x v="7"/>
    <x v="2"/>
  </r>
  <r>
    <x v="473"/>
    <x v="91"/>
    <s v="Meera Desai"/>
    <x v="8"/>
    <x v="9"/>
    <x v="1"/>
    <n v="4"/>
    <n v="120"/>
    <n v="60"/>
    <n v="0"/>
    <n v="480"/>
    <n v="240"/>
    <x v="0"/>
    <s v="Dine-In"/>
    <x v="8"/>
    <x v="1"/>
  </r>
  <r>
    <x v="474"/>
    <x v="206"/>
    <s v="Aarav Sharma"/>
    <x v="3"/>
    <x v="16"/>
    <x v="3"/>
    <n v="1"/>
    <n v="120"/>
    <n v="60"/>
    <n v="28"/>
    <n v="92"/>
    <n v="32"/>
    <x v="4"/>
    <s v="Delivery"/>
    <x v="4"/>
    <x v="1"/>
  </r>
  <r>
    <x v="475"/>
    <x v="102"/>
    <s v="Rohan Mehta"/>
    <x v="7"/>
    <x v="8"/>
    <x v="5"/>
    <n v="2"/>
    <n v="210"/>
    <n v="105"/>
    <n v="22"/>
    <n v="398"/>
    <n v="188"/>
    <x v="3"/>
    <s v="Delivery"/>
    <x v="1"/>
    <x v="0"/>
  </r>
  <r>
    <x v="476"/>
    <x v="168"/>
    <s v="Kavya Iyer"/>
    <x v="6"/>
    <x v="13"/>
    <x v="2"/>
    <n v="1"/>
    <n v="150"/>
    <n v="75"/>
    <n v="21"/>
    <n v="129"/>
    <n v="54"/>
    <x v="1"/>
    <s v="Delivery"/>
    <x v="5"/>
    <x v="2"/>
  </r>
  <r>
    <x v="477"/>
    <x v="191"/>
    <s v="Karan Joshi"/>
    <x v="4"/>
    <x v="1"/>
    <x v="1"/>
    <n v="3"/>
    <n v="140"/>
    <n v="70"/>
    <n v="15"/>
    <n v="405"/>
    <n v="195"/>
    <x v="2"/>
    <s v="Takeaway"/>
    <x v="3"/>
    <x v="1"/>
  </r>
  <r>
    <x v="478"/>
    <x v="35"/>
    <s v="Yash Patil"/>
    <x v="4"/>
    <x v="8"/>
    <x v="5"/>
    <n v="1"/>
    <n v="210"/>
    <n v="105"/>
    <n v="34"/>
    <n v="176"/>
    <n v="71"/>
    <x v="2"/>
    <s v="Dine-In"/>
    <x v="1"/>
    <x v="2"/>
  </r>
  <r>
    <x v="479"/>
    <x v="214"/>
    <s v="Sneha Nair"/>
    <x v="1"/>
    <x v="8"/>
    <x v="5"/>
    <n v="4"/>
    <n v="210"/>
    <n v="105"/>
    <n v="41"/>
    <n v="799"/>
    <n v="379"/>
    <x v="1"/>
    <s v="Delivery"/>
    <x v="0"/>
    <x v="1"/>
  </r>
  <r>
    <x v="480"/>
    <x v="253"/>
    <s v="Ishita Roy"/>
    <x v="9"/>
    <x v="12"/>
    <x v="4"/>
    <n v="4"/>
    <n v="170"/>
    <n v="85"/>
    <n v="7"/>
    <n v="673"/>
    <n v="333"/>
    <x v="1"/>
    <s v="Takeaway"/>
    <x v="2"/>
    <x v="0"/>
  </r>
  <r>
    <x v="481"/>
    <x v="77"/>
    <s v="Mohit Agarwal"/>
    <x v="3"/>
    <x v="3"/>
    <x v="3"/>
    <n v="1"/>
    <n v="180"/>
    <n v="90"/>
    <n v="13"/>
    <n v="167"/>
    <n v="77"/>
    <x v="0"/>
    <s v="Delivery"/>
    <x v="6"/>
    <x v="1"/>
  </r>
  <r>
    <x v="482"/>
    <x v="254"/>
    <s v="Simran Kaur"/>
    <x v="9"/>
    <x v="15"/>
    <x v="3"/>
    <n v="3"/>
    <n v="220"/>
    <n v="110"/>
    <n v="31"/>
    <n v="629"/>
    <n v="299"/>
    <x v="1"/>
    <s v="Dine-In"/>
    <x v="7"/>
    <x v="1"/>
  </r>
  <r>
    <x v="483"/>
    <x v="106"/>
    <s v="Simran Kaur"/>
    <x v="6"/>
    <x v="13"/>
    <x v="2"/>
    <n v="4"/>
    <n v="150"/>
    <n v="75"/>
    <n v="9"/>
    <n v="591"/>
    <n v="291"/>
    <x v="1"/>
    <s v="Delivery"/>
    <x v="7"/>
    <x v="0"/>
  </r>
  <r>
    <x v="484"/>
    <x v="255"/>
    <s v="Ananya Singh"/>
    <x v="7"/>
    <x v="11"/>
    <x v="3"/>
    <n v="1"/>
    <n v="200"/>
    <n v="100"/>
    <n v="23"/>
    <n v="177"/>
    <n v="77"/>
    <x v="3"/>
    <s v="Takeaway"/>
    <x v="3"/>
    <x v="2"/>
  </r>
  <r>
    <x v="485"/>
    <x v="256"/>
    <s v="Karan Joshi"/>
    <x v="5"/>
    <x v="19"/>
    <x v="0"/>
    <n v="2"/>
    <n v="80"/>
    <n v="40"/>
    <n v="20"/>
    <n v="140"/>
    <n v="60"/>
    <x v="1"/>
    <s v="Delivery"/>
    <x v="9"/>
    <x v="0"/>
  </r>
  <r>
    <x v="486"/>
    <x v="257"/>
    <s v="Ritika Das"/>
    <x v="2"/>
    <x v="10"/>
    <x v="5"/>
    <n v="5"/>
    <n v="190"/>
    <n v="95"/>
    <n v="43"/>
    <n v="907"/>
    <n v="432"/>
    <x v="0"/>
    <s v="Takeaway"/>
    <x v="7"/>
    <x v="1"/>
  </r>
  <r>
    <x v="487"/>
    <x v="258"/>
    <s v="Aman Mishra"/>
    <x v="6"/>
    <x v="10"/>
    <x v="5"/>
    <n v="4"/>
    <n v="190"/>
    <n v="95"/>
    <n v="31"/>
    <n v="729"/>
    <n v="349"/>
    <x v="1"/>
    <s v="Takeaway"/>
    <x v="7"/>
    <x v="2"/>
  </r>
  <r>
    <x v="488"/>
    <x v="154"/>
    <s v="Rohan Mehta"/>
    <x v="5"/>
    <x v="5"/>
    <x v="4"/>
    <n v="4"/>
    <n v="220"/>
    <n v="110"/>
    <n v="39"/>
    <n v="841"/>
    <n v="401"/>
    <x v="2"/>
    <s v="Dine-In"/>
    <x v="5"/>
    <x v="0"/>
  </r>
  <r>
    <x v="489"/>
    <x v="114"/>
    <s v="Kavya Iyer"/>
    <x v="2"/>
    <x v="13"/>
    <x v="2"/>
    <n v="2"/>
    <n v="150"/>
    <n v="75"/>
    <n v="29"/>
    <n v="271"/>
    <n v="121"/>
    <x v="4"/>
    <s v="Takeaway"/>
    <x v="2"/>
    <x v="0"/>
  </r>
  <r>
    <x v="490"/>
    <x v="237"/>
    <s v="Karan Joshi"/>
    <x v="7"/>
    <x v="11"/>
    <x v="3"/>
    <n v="4"/>
    <n v="200"/>
    <n v="100"/>
    <n v="6"/>
    <n v="794"/>
    <n v="394"/>
    <x v="0"/>
    <s v="Dine-In"/>
    <x v="3"/>
    <x v="2"/>
  </r>
  <r>
    <x v="491"/>
    <x v="163"/>
    <s v="Arjun Reddy"/>
    <x v="4"/>
    <x v="3"/>
    <x v="3"/>
    <n v="2"/>
    <n v="180"/>
    <n v="90"/>
    <n v="35"/>
    <n v="325"/>
    <n v="145"/>
    <x v="4"/>
    <s v="Takeaway"/>
    <x v="1"/>
    <x v="0"/>
  </r>
  <r>
    <x v="492"/>
    <x v="259"/>
    <s v="Mohit Agarwal"/>
    <x v="0"/>
    <x v="5"/>
    <x v="4"/>
    <n v="2"/>
    <n v="220"/>
    <n v="110"/>
    <n v="6"/>
    <n v="434"/>
    <n v="214"/>
    <x v="4"/>
    <s v="Dine-In"/>
    <x v="0"/>
    <x v="2"/>
  </r>
  <r>
    <x v="493"/>
    <x v="123"/>
    <s v="Simran Kaur"/>
    <x v="0"/>
    <x v="11"/>
    <x v="3"/>
    <n v="2"/>
    <n v="200"/>
    <n v="100"/>
    <n v="24"/>
    <n v="376"/>
    <n v="176"/>
    <x v="1"/>
    <s v="Dine-In"/>
    <x v="8"/>
    <x v="0"/>
  </r>
  <r>
    <x v="494"/>
    <x v="4"/>
    <s v="Aditi Kapoor"/>
    <x v="1"/>
    <x v="12"/>
    <x v="4"/>
    <n v="1"/>
    <n v="170"/>
    <n v="85"/>
    <n v="29"/>
    <n v="141"/>
    <n v="56"/>
    <x v="4"/>
    <s v="Delivery"/>
    <x v="8"/>
    <x v="1"/>
  </r>
  <r>
    <x v="495"/>
    <x v="13"/>
    <s v="Kavya Iyer"/>
    <x v="4"/>
    <x v="5"/>
    <x v="4"/>
    <n v="1"/>
    <n v="220"/>
    <n v="110"/>
    <n v="49"/>
    <n v="171"/>
    <n v="61"/>
    <x v="1"/>
    <s v="Delivery"/>
    <x v="6"/>
    <x v="2"/>
  </r>
  <r>
    <x v="496"/>
    <x v="169"/>
    <s v="Mohit Agarwal"/>
    <x v="1"/>
    <x v="1"/>
    <x v="1"/>
    <n v="5"/>
    <n v="140"/>
    <n v="70"/>
    <n v="20"/>
    <n v="680"/>
    <n v="330"/>
    <x v="0"/>
    <s v="Delivery"/>
    <x v="5"/>
    <x v="2"/>
  </r>
  <r>
    <x v="497"/>
    <x v="193"/>
    <s v="Tanvi Bhat"/>
    <x v="4"/>
    <x v="3"/>
    <x v="3"/>
    <n v="1"/>
    <n v="180"/>
    <n v="90"/>
    <n v="36"/>
    <n v="144"/>
    <n v="54"/>
    <x v="1"/>
    <s v="Takeaway"/>
    <x v="9"/>
    <x v="1"/>
  </r>
  <r>
    <x v="498"/>
    <x v="9"/>
    <s v="Simran Kaur"/>
    <x v="1"/>
    <x v="3"/>
    <x v="3"/>
    <n v="2"/>
    <n v="180"/>
    <n v="90"/>
    <n v="43"/>
    <n v="317"/>
    <n v="137"/>
    <x v="4"/>
    <s v="Takeaway"/>
    <x v="9"/>
    <x v="2"/>
  </r>
  <r>
    <x v="499"/>
    <x v="38"/>
    <s v="Aarav Sharma"/>
    <x v="5"/>
    <x v="11"/>
    <x v="3"/>
    <n v="2"/>
    <n v="200"/>
    <n v="100"/>
    <n v="28"/>
    <n v="372"/>
    <n v="172"/>
    <x v="3"/>
    <s v="Delivery"/>
    <x v="1"/>
    <x v="2"/>
  </r>
  <r>
    <x v="500"/>
    <x v="231"/>
    <s v="Rohan Mehta"/>
    <x v="8"/>
    <x v="18"/>
    <x v="6"/>
    <n v="2"/>
    <n v="170"/>
    <n v="85"/>
    <n v="17"/>
    <n v="323"/>
    <n v="153"/>
    <x v="1"/>
    <s v="Dine-In"/>
    <x v="4"/>
    <x v="2"/>
  </r>
  <r>
    <x v="501"/>
    <x v="260"/>
    <s v="Ananya Singh"/>
    <x v="0"/>
    <x v="11"/>
    <x v="3"/>
    <n v="2"/>
    <n v="200"/>
    <n v="100"/>
    <n v="39"/>
    <n v="361"/>
    <n v="161"/>
    <x v="2"/>
    <s v="Delivery"/>
    <x v="5"/>
    <x v="1"/>
  </r>
  <r>
    <x v="502"/>
    <x v="11"/>
    <s v="Siddharth Jain"/>
    <x v="8"/>
    <x v="18"/>
    <x v="6"/>
    <n v="5"/>
    <n v="170"/>
    <n v="85"/>
    <n v="36"/>
    <n v="814"/>
    <n v="389"/>
    <x v="0"/>
    <s v="Dine-In"/>
    <x v="5"/>
    <x v="2"/>
  </r>
  <r>
    <x v="503"/>
    <x v="185"/>
    <s v="Yash Patil"/>
    <x v="6"/>
    <x v="14"/>
    <x v="2"/>
    <n v="1"/>
    <n v="130"/>
    <n v="65"/>
    <n v="48"/>
    <n v="82"/>
    <n v="17"/>
    <x v="3"/>
    <s v="Takeaway"/>
    <x v="4"/>
    <x v="2"/>
  </r>
  <r>
    <x v="504"/>
    <x v="231"/>
    <s v="Rahul Verma"/>
    <x v="9"/>
    <x v="8"/>
    <x v="5"/>
    <n v="2"/>
    <n v="210"/>
    <n v="105"/>
    <n v="47"/>
    <n v="373"/>
    <n v="163"/>
    <x v="0"/>
    <s v="Takeaway"/>
    <x v="5"/>
    <x v="0"/>
  </r>
  <r>
    <x v="505"/>
    <x v="261"/>
    <s v="Harsh Vyas"/>
    <x v="1"/>
    <x v="0"/>
    <x v="0"/>
    <n v="5"/>
    <n v="240"/>
    <n v="120"/>
    <n v="45"/>
    <n v="1155"/>
    <n v="555"/>
    <x v="0"/>
    <s v="Takeaway"/>
    <x v="4"/>
    <x v="0"/>
  </r>
  <r>
    <x v="506"/>
    <x v="262"/>
    <s v="Shruti Rao"/>
    <x v="6"/>
    <x v="19"/>
    <x v="0"/>
    <n v="4"/>
    <n v="80"/>
    <n v="40"/>
    <n v="9"/>
    <n v="311"/>
    <n v="151"/>
    <x v="2"/>
    <s v="Dine-In"/>
    <x v="8"/>
    <x v="2"/>
  </r>
  <r>
    <x v="507"/>
    <x v="220"/>
    <s v="Priya Patel"/>
    <x v="4"/>
    <x v="11"/>
    <x v="3"/>
    <n v="5"/>
    <n v="200"/>
    <n v="100"/>
    <n v="9"/>
    <n v="991"/>
    <n v="491"/>
    <x v="0"/>
    <s v="Dine-In"/>
    <x v="8"/>
    <x v="1"/>
  </r>
  <r>
    <x v="508"/>
    <x v="242"/>
    <s v="Rohan Mehta"/>
    <x v="8"/>
    <x v="12"/>
    <x v="4"/>
    <n v="4"/>
    <n v="170"/>
    <n v="85"/>
    <n v="38"/>
    <n v="642"/>
    <n v="302"/>
    <x v="3"/>
    <s v="Delivery"/>
    <x v="0"/>
    <x v="0"/>
  </r>
  <r>
    <x v="509"/>
    <x v="50"/>
    <s v="Mohit Agarwal"/>
    <x v="2"/>
    <x v="0"/>
    <x v="0"/>
    <n v="1"/>
    <n v="240"/>
    <n v="120"/>
    <n v="36"/>
    <n v="204"/>
    <n v="84"/>
    <x v="1"/>
    <s v="Takeaway"/>
    <x v="2"/>
    <x v="0"/>
  </r>
  <r>
    <x v="510"/>
    <x v="263"/>
    <s v="Siddharth Jain"/>
    <x v="6"/>
    <x v="4"/>
    <x v="4"/>
    <n v="3"/>
    <n v="160"/>
    <n v="80"/>
    <n v="4"/>
    <n v="476"/>
    <n v="236"/>
    <x v="0"/>
    <s v="Takeaway"/>
    <x v="1"/>
    <x v="0"/>
  </r>
  <r>
    <x v="511"/>
    <x v="101"/>
    <s v="Aditi Kapoor"/>
    <x v="8"/>
    <x v="4"/>
    <x v="4"/>
    <n v="3"/>
    <n v="160"/>
    <n v="80"/>
    <n v="45"/>
    <n v="435"/>
    <n v="195"/>
    <x v="0"/>
    <s v="Dine-In"/>
    <x v="5"/>
    <x v="2"/>
  </r>
  <r>
    <x v="512"/>
    <x v="254"/>
    <s v="Shruti Rao"/>
    <x v="7"/>
    <x v="11"/>
    <x v="3"/>
    <n v="2"/>
    <n v="200"/>
    <n v="100"/>
    <n v="42"/>
    <n v="358"/>
    <n v="158"/>
    <x v="3"/>
    <s v="Takeaway"/>
    <x v="6"/>
    <x v="2"/>
  </r>
  <r>
    <x v="513"/>
    <x v="158"/>
    <s v="Karan Joshi"/>
    <x v="3"/>
    <x v="3"/>
    <x v="3"/>
    <n v="2"/>
    <n v="180"/>
    <n v="90"/>
    <n v="34"/>
    <n v="326"/>
    <n v="146"/>
    <x v="2"/>
    <s v="Dine-In"/>
    <x v="7"/>
    <x v="1"/>
  </r>
  <r>
    <x v="514"/>
    <x v="50"/>
    <s v="Sneha Nair"/>
    <x v="3"/>
    <x v="18"/>
    <x v="6"/>
    <n v="5"/>
    <n v="170"/>
    <n v="85"/>
    <n v="3"/>
    <n v="847"/>
    <n v="422"/>
    <x v="1"/>
    <s v="Takeaway"/>
    <x v="4"/>
    <x v="0"/>
  </r>
  <r>
    <x v="515"/>
    <x v="189"/>
    <s v="Nisha Sharma"/>
    <x v="8"/>
    <x v="19"/>
    <x v="0"/>
    <n v="3"/>
    <n v="80"/>
    <n v="40"/>
    <n v="6"/>
    <n v="234"/>
    <n v="114"/>
    <x v="4"/>
    <s v="Takeaway"/>
    <x v="4"/>
    <x v="0"/>
  </r>
  <r>
    <x v="516"/>
    <x v="264"/>
    <s v="Manish Yadav"/>
    <x v="7"/>
    <x v="7"/>
    <x v="3"/>
    <n v="2"/>
    <n v="150"/>
    <n v="75"/>
    <n v="28"/>
    <n v="272"/>
    <n v="122"/>
    <x v="2"/>
    <s v="Delivery"/>
    <x v="1"/>
    <x v="2"/>
  </r>
  <r>
    <x v="517"/>
    <x v="240"/>
    <s v="Ishita Roy"/>
    <x v="7"/>
    <x v="10"/>
    <x v="5"/>
    <n v="4"/>
    <n v="190"/>
    <n v="95"/>
    <n v="43"/>
    <n v="717"/>
    <n v="337"/>
    <x v="1"/>
    <s v="Dine-In"/>
    <x v="5"/>
    <x v="0"/>
  </r>
  <r>
    <x v="518"/>
    <x v="135"/>
    <s v="Aditya Kumar"/>
    <x v="6"/>
    <x v="8"/>
    <x v="5"/>
    <n v="1"/>
    <n v="210"/>
    <n v="105"/>
    <n v="21"/>
    <n v="189"/>
    <n v="84"/>
    <x v="3"/>
    <s v="Dine-In"/>
    <x v="0"/>
    <x v="0"/>
  </r>
  <r>
    <x v="519"/>
    <x v="172"/>
    <s v="Pooja Kulkarni"/>
    <x v="3"/>
    <x v="2"/>
    <x v="2"/>
    <n v="4"/>
    <n v="110"/>
    <n v="55"/>
    <n v="49"/>
    <n v="391"/>
    <n v="171"/>
    <x v="3"/>
    <s v="Takeaway"/>
    <x v="3"/>
    <x v="1"/>
  </r>
  <r>
    <x v="520"/>
    <x v="177"/>
    <s v="Nisha Sharma"/>
    <x v="6"/>
    <x v="5"/>
    <x v="4"/>
    <n v="1"/>
    <n v="220"/>
    <n v="110"/>
    <n v="8"/>
    <n v="212"/>
    <n v="102"/>
    <x v="4"/>
    <s v="Takeaway"/>
    <x v="1"/>
    <x v="1"/>
  </r>
  <r>
    <x v="521"/>
    <x v="254"/>
    <s v="Shruti Rao"/>
    <x v="1"/>
    <x v="10"/>
    <x v="5"/>
    <n v="3"/>
    <n v="190"/>
    <n v="95"/>
    <n v="46"/>
    <n v="524"/>
    <n v="239"/>
    <x v="1"/>
    <s v="Delivery"/>
    <x v="5"/>
    <x v="2"/>
  </r>
  <r>
    <x v="522"/>
    <x v="259"/>
    <s v="Aarav Sharma"/>
    <x v="2"/>
    <x v="6"/>
    <x v="0"/>
    <n v="4"/>
    <n v="100"/>
    <n v="50"/>
    <n v="12"/>
    <n v="388"/>
    <n v="188"/>
    <x v="1"/>
    <s v="Delivery"/>
    <x v="7"/>
    <x v="2"/>
  </r>
  <r>
    <x v="523"/>
    <x v="175"/>
    <s v="Vivek Nair"/>
    <x v="4"/>
    <x v="12"/>
    <x v="4"/>
    <n v="4"/>
    <n v="170"/>
    <n v="85"/>
    <n v="33"/>
    <n v="647"/>
    <n v="307"/>
    <x v="3"/>
    <s v="Delivery"/>
    <x v="0"/>
    <x v="1"/>
  </r>
  <r>
    <x v="524"/>
    <x v="0"/>
    <s v="Aman Mishra"/>
    <x v="1"/>
    <x v="9"/>
    <x v="1"/>
    <n v="3"/>
    <n v="120"/>
    <n v="60"/>
    <n v="49"/>
    <n v="311"/>
    <n v="131"/>
    <x v="1"/>
    <s v="Takeaway"/>
    <x v="3"/>
    <x v="2"/>
  </r>
  <r>
    <x v="525"/>
    <x v="76"/>
    <s v="Tanvi Bhat"/>
    <x v="3"/>
    <x v="18"/>
    <x v="6"/>
    <n v="4"/>
    <n v="170"/>
    <n v="85"/>
    <n v="17"/>
    <n v="663"/>
    <n v="323"/>
    <x v="4"/>
    <s v="Delivery"/>
    <x v="3"/>
    <x v="1"/>
  </r>
  <r>
    <x v="526"/>
    <x v="223"/>
    <s v="Kavya Iyer"/>
    <x v="1"/>
    <x v="16"/>
    <x v="3"/>
    <n v="1"/>
    <n v="120"/>
    <n v="60"/>
    <n v="27"/>
    <n v="93"/>
    <n v="33"/>
    <x v="0"/>
    <s v="Delivery"/>
    <x v="1"/>
    <x v="2"/>
  </r>
  <r>
    <x v="527"/>
    <x v="265"/>
    <s v="Rahul Verma"/>
    <x v="1"/>
    <x v="1"/>
    <x v="1"/>
    <n v="3"/>
    <n v="140"/>
    <n v="70"/>
    <n v="45"/>
    <n v="375"/>
    <n v="165"/>
    <x v="2"/>
    <s v="Takeaway"/>
    <x v="1"/>
    <x v="1"/>
  </r>
  <r>
    <x v="528"/>
    <x v="128"/>
    <s v="Priya Patel"/>
    <x v="9"/>
    <x v="16"/>
    <x v="3"/>
    <n v="2"/>
    <n v="120"/>
    <n v="60"/>
    <n v="32"/>
    <n v="208"/>
    <n v="88"/>
    <x v="2"/>
    <s v="Delivery"/>
    <x v="7"/>
    <x v="0"/>
  </r>
  <r>
    <x v="529"/>
    <x v="21"/>
    <s v="Shruti Rao"/>
    <x v="9"/>
    <x v="18"/>
    <x v="6"/>
    <n v="4"/>
    <n v="170"/>
    <n v="85"/>
    <n v="30"/>
    <n v="650"/>
    <n v="310"/>
    <x v="1"/>
    <s v="Delivery"/>
    <x v="5"/>
    <x v="0"/>
  </r>
  <r>
    <x v="530"/>
    <x v="92"/>
    <s v="Vivek Nair"/>
    <x v="5"/>
    <x v="7"/>
    <x v="3"/>
    <n v="3"/>
    <n v="150"/>
    <n v="75"/>
    <n v="1"/>
    <n v="449"/>
    <n v="224"/>
    <x v="1"/>
    <s v="Takeaway"/>
    <x v="1"/>
    <x v="2"/>
  </r>
  <r>
    <x v="531"/>
    <x v="266"/>
    <s v="Aman Mishra"/>
    <x v="4"/>
    <x v="6"/>
    <x v="0"/>
    <n v="2"/>
    <n v="100"/>
    <n v="50"/>
    <n v="31"/>
    <n v="169"/>
    <n v="69"/>
    <x v="0"/>
    <s v="Takeaway"/>
    <x v="5"/>
    <x v="1"/>
  </r>
  <r>
    <x v="532"/>
    <x v="16"/>
    <s v="Simran Kaur"/>
    <x v="3"/>
    <x v="18"/>
    <x v="6"/>
    <n v="5"/>
    <n v="170"/>
    <n v="85"/>
    <n v="38"/>
    <n v="812"/>
    <n v="387"/>
    <x v="4"/>
    <s v="Takeaway"/>
    <x v="0"/>
    <x v="2"/>
  </r>
  <r>
    <x v="533"/>
    <x v="134"/>
    <s v="Ishita Roy"/>
    <x v="6"/>
    <x v="4"/>
    <x v="4"/>
    <n v="3"/>
    <n v="160"/>
    <n v="80"/>
    <n v="32"/>
    <n v="448"/>
    <n v="208"/>
    <x v="3"/>
    <s v="Delivery"/>
    <x v="8"/>
    <x v="0"/>
  </r>
  <r>
    <x v="534"/>
    <x v="115"/>
    <s v="Aman Mishra"/>
    <x v="1"/>
    <x v="6"/>
    <x v="0"/>
    <n v="4"/>
    <n v="100"/>
    <n v="50"/>
    <n v="12"/>
    <n v="388"/>
    <n v="188"/>
    <x v="3"/>
    <s v="Takeaway"/>
    <x v="9"/>
    <x v="0"/>
  </r>
  <r>
    <x v="535"/>
    <x v="112"/>
    <s v="Aarav Sharma"/>
    <x v="3"/>
    <x v="5"/>
    <x v="4"/>
    <n v="5"/>
    <n v="220"/>
    <n v="110"/>
    <n v="11"/>
    <n v="1089"/>
    <n v="539"/>
    <x v="0"/>
    <s v="Takeaway"/>
    <x v="8"/>
    <x v="1"/>
  </r>
  <r>
    <x v="536"/>
    <x v="179"/>
    <s v="Manish Yadav"/>
    <x v="3"/>
    <x v="18"/>
    <x v="6"/>
    <n v="4"/>
    <n v="170"/>
    <n v="85"/>
    <n v="28"/>
    <n v="652"/>
    <n v="312"/>
    <x v="3"/>
    <s v="Delivery"/>
    <x v="6"/>
    <x v="0"/>
  </r>
  <r>
    <x v="537"/>
    <x v="267"/>
    <s v="Shruti Rao"/>
    <x v="4"/>
    <x v="15"/>
    <x v="3"/>
    <n v="3"/>
    <n v="220"/>
    <n v="110"/>
    <n v="23"/>
    <n v="637"/>
    <n v="307"/>
    <x v="2"/>
    <s v="Takeaway"/>
    <x v="9"/>
    <x v="2"/>
  </r>
  <r>
    <x v="538"/>
    <x v="268"/>
    <s v="Sneha Nair"/>
    <x v="8"/>
    <x v="13"/>
    <x v="2"/>
    <n v="5"/>
    <n v="150"/>
    <n v="75"/>
    <n v="7"/>
    <n v="743"/>
    <n v="368"/>
    <x v="0"/>
    <s v="Takeaway"/>
    <x v="5"/>
    <x v="1"/>
  </r>
  <r>
    <x v="539"/>
    <x v="103"/>
    <s v="Pooja Kulkarni"/>
    <x v="5"/>
    <x v="0"/>
    <x v="0"/>
    <n v="1"/>
    <n v="240"/>
    <n v="120"/>
    <n v="18"/>
    <n v="222"/>
    <n v="102"/>
    <x v="4"/>
    <s v="Takeaway"/>
    <x v="6"/>
    <x v="1"/>
  </r>
  <r>
    <x v="540"/>
    <x v="269"/>
    <s v="Mohit Agarwal"/>
    <x v="6"/>
    <x v="18"/>
    <x v="6"/>
    <n v="3"/>
    <n v="170"/>
    <n v="85"/>
    <n v="11"/>
    <n v="499"/>
    <n v="244"/>
    <x v="0"/>
    <s v="Dine-In"/>
    <x v="8"/>
    <x v="1"/>
  </r>
  <r>
    <x v="541"/>
    <x v="270"/>
    <s v="Ishita Roy"/>
    <x v="0"/>
    <x v="15"/>
    <x v="3"/>
    <n v="2"/>
    <n v="220"/>
    <n v="110"/>
    <n v="36"/>
    <n v="404"/>
    <n v="184"/>
    <x v="4"/>
    <s v="Delivery"/>
    <x v="1"/>
    <x v="1"/>
  </r>
  <r>
    <x v="542"/>
    <x v="116"/>
    <s v="Divya Shetty"/>
    <x v="4"/>
    <x v="5"/>
    <x v="4"/>
    <n v="5"/>
    <n v="220"/>
    <n v="110"/>
    <n v="37"/>
    <n v="1063"/>
    <n v="513"/>
    <x v="3"/>
    <s v="Dine-In"/>
    <x v="0"/>
    <x v="0"/>
  </r>
  <r>
    <x v="543"/>
    <x v="271"/>
    <s v="Akash Naik"/>
    <x v="3"/>
    <x v="5"/>
    <x v="4"/>
    <n v="5"/>
    <n v="220"/>
    <n v="110"/>
    <n v="19"/>
    <n v="1081"/>
    <n v="531"/>
    <x v="3"/>
    <s v="Dine-In"/>
    <x v="9"/>
    <x v="0"/>
  </r>
  <r>
    <x v="544"/>
    <x v="272"/>
    <s v="Manish Yadav"/>
    <x v="7"/>
    <x v="19"/>
    <x v="0"/>
    <n v="5"/>
    <n v="80"/>
    <n v="40"/>
    <n v="1"/>
    <n v="399"/>
    <n v="199"/>
    <x v="1"/>
    <s v="Dine-In"/>
    <x v="7"/>
    <x v="1"/>
  </r>
  <r>
    <x v="545"/>
    <x v="185"/>
    <s v="Ananya Singh"/>
    <x v="6"/>
    <x v="12"/>
    <x v="4"/>
    <n v="1"/>
    <n v="170"/>
    <n v="85"/>
    <n v="47"/>
    <n v="123"/>
    <n v="38"/>
    <x v="0"/>
    <s v="Dine-In"/>
    <x v="7"/>
    <x v="2"/>
  </r>
  <r>
    <x v="546"/>
    <x v="231"/>
    <s v="Meera Desai"/>
    <x v="7"/>
    <x v="6"/>
    <x v="0"/>
    <n v="1"/>
    <n v="100"/>
    <n v="50"/>
    <n v="4"/>
    <n v="96"/>
    <n v="46"/>
    <x v="4"/>
    <s v="Delivery"/>
    <x v="4"/>
    <x v="1"/>
  </r>
  <r>
    <x v="547"/>
    <x v="112"/>
    <s v="Mohit Agarwal"/>
    <x v="8"/>
    <x v="14"/>
    <x v="2"/>
    <n v="2"/>
    <n v="130"/>
    <n v="65"/>
    <n v="2"/>
    <n v="258"/>
    <n v="128"/>
    <x v="1"/>
    <s v="Delivery"/>
    <x v="7"/>
    <x v="1"/>
  </r>
  <r>
    <x v="548"/>
    <x v="273"/>
    <s v="Ananya Singh"/>
    <x v="6"/>
    <x v="10"/>
    <x v="5"/>
    <n v="1"/>
    <n v="190"/>
    <n v="95"/>
    <n v="22"/>
    <n v="168"/>
    <n v="73"/>
    <x v="4"/>
    <s v="Takeaway"/>
    <x v="5"/>
    <x v="0"/>
  </r>
  <r>
    <x v="549"/>
    <x v="91"/>
    <s v="Aditya Kumar"/>
    <x v="6"/>
    <x v="19"/>
    <x v="0"/>
    <n v="4"/>
    <n v="80"/>
    <n v="40"/>
    <n v="35"/>
    <n v="285"/>
    <n v="125"/>
    <x v="4"/>
    <s v="Takeaway"/>
    <x v="0"/>
    <x v="0"/>
  </r>
  <r>
    <x v="550"/>
    <x v="47"/>
    <s v="Aditi Kapoor"/>
    <x v="0"/>
    <x v="1"/>
    <x v="1"/>
    <n v="4"/>
    <n v="140"/>
    <n v="70"/>
    <n v="29"/>
    <n v="531"/>
    <n v="251"/>
    <x v="1"/>
    <s v="Takeaway"/>
    <x v="0"/>
    <x v="2"/>
  </r>
  <r>
    <x v="551"/>
    <x v="32"/>
    <s v="Neha Gupta"/>
    <x v="8"/>
    <x v="4"/>
    <x v="4"/>
    <n v="3"/>
    <n v="160"/>
    <n v="80"/>
    <n v="1"/>
    <n v="479"/>
    <n v="239"/>
    <x v="3"/>
    <s v="Dine-In"/>
    <x v="4"/>
    <x v="2"/>
  </r>
  <r>
    <x v="552"/>
    <x v="175"/>
    <s v="Manish Yadav"/>
    <x v="4"/>
    <x v="1"/>
    <x v="1"/>
    <n v="1"/>
    <n v="140"/>
    <n v="70"/>
    <n v="23"/>
    <n v="117"/>
    <n v="47"/>
    <x v="2"/>
    <s v="Dine-In"/>
    <x v="5"/>
    <x v="1"/>
  </r>
  <r>
    <x v="553"/>
    <x v="230"/>
    <s v="Yash Patil"/>
    <x v="4"/>
    <x v="17"/>
    <x v="4"/>
    <n v="3"/>
    <n v="180"/>
    <n v="90"/>
    <n v="44"/>
    <n v="496"/>
    <n v="226"/>
    <x v="0"/>
    <s v="Dine-In"/>
    <x v="9"/>
    <x v="1"/>
  </r>
  <r>
    <x v="554"/>
    <x v="87"/>
    <s v="Meera Desai"/>
    <x v="4"/>
    <x v="19"/>
    <x v="0"/>
    <n v="1"/>
    <n v="80"/>
    <n v="40"/>
    <n v="9"/>
    <n v="71"/>
    <n v="31"/>
    <x v="1"/>
    <s v="Delivery"/>
    <x v="5"/>
    <x v="1"/>
  </r>
  <r>
    <x v="555"/>
    <x v="110"/>
    <s v="Rahul Verma"/>
    <x v="2"/>
    <x v="19"/>
    <x v="0"/>
    <n v="3"/>
    <n v="80"/>
    <n v="40"/>
    <n v="0"/>
    <n v="240"/>
    <n v="120"/>
    <x v="1"/>
    <s v="Takeaway"/>
    <x v="6"/>
    <x v="0"/>
  </r>
  <r>
    <x v="556"/>
    <x v="64"/>
    <s v="Ritika Das"/>
    <x v="8"/>
    <x v="12"/>
    <x v="4"/>
    <n v="4"/>
    <n v="170"/>
    <n v="85"/>
    <n v="37"/>
    <n v="643"/>
    <n v="303"/>
    <x v="4"/>
    <s v="Dine-In"/>
    <x v="2"/>
    <x v="0"/>
  </r>
  <r>
    <x v="557"/>
    <x v="83"/>
    <s v="Kavya Iyer"/>
    <x v="8"/>
    <x v="4"/>
    <x v="4"/>
    <n v="4"/>
    <n v="160"/>
    <n v="80"/>
    <n v="16"/>
    <n v="624"/>
    <n v="304"/>
    <x v="3"/>
    <s v="Delivery"/>
    <x v="5"/>
    <x v="2"/>
  </r>
  <r>
    <x v="558"/>
    <x v="193"/>
    <s v="Nisha Sharma"/>
    <x v="8"/>
    <x v="14"/>
    <x v="2"/>
    <n v="2"/>
    <n v="130"/>
    <n v="65"/>
    <n v="12"/>
    <n v="248"/>
    <n v="118"/>
    <x v="4"/>
    <s v="Takeaway"/>
    <x v="5"/>
    <x v="2"/>
  </r>
  <r>
    <x v="559"/>
    <x v="117"/>
    <s v="Nisha Sharma"/>
    <x v="0"/>
    <x v="10"/>
    <x v="5"/>
    <n v="1"/>
    <n v="190"/>
    <n v="95"/>
    <n v="19"/>
    <n v="171"/>
    <n v="76"/>
    <x v="4"/>
    <s v="Delivery"/>
    <x v="3"/>
    <x v="2"/>
  </r>
  <r>
    <x v="560"/>
    <x v="8"/>
    <s v="Yash Patil"/>
    <x v="0"/>
    <x v="13"/>
    <x v="2"/>
    <n v="2"/>
    <n v="150"/>
    <n v="75"/>
    <n v="30"/>
    <n v="270"/>
    <n v="120"/>
    <x v="2"/>
    <s v="Dine-In"/>
    <x v="8"/>
    <x v="1"/>
  </r>
  <r>
    <x v="561"/>
    <x v="216"/>
    <s v="Meera Desai"/>
    <x v="5"/>
    <x v="6"/>
    <x v="0"/>
    <n v="4"/>
    <n v="100"/>
    <n v="50"/>
    <n v="2"/>
    <n v="398"/>
    <n v="198"/>
    <x v="4"/>
    <s v="Dine-In"/>
    <x v="8"/>
    <x v="0"/>
  </r>
  <r>
    <x v="562"/>
    <x v="67"/>
    <s v="Arjun Reddy"/>
    <x v="8"/>
    <x v="0"/>
    <x v="0"/>
    <n v="3"/>
    <n v="240"/>
    <n v="120"/>
    <n v="24"/>
    <n v="696"/>
    <n v="336"/>
    <x v="0"/>
    <s v="Delivery"/>
    <x v="3"/>
    <x v="0"/>
  </r>
  <r>
    <x v="563"/>
    <x v="274"/>
    <s v="Sneha Nair"/>
    <x v="2"/>
    <x v="12"/>
    <x v="4"/>
    <n v="5"/>
    <n v="170"/>
    <n v="85"/>
    <n v="48"/>
    <n v="802"/>
    <n v="377"/>
    <x v="4"/>
    <s v="Dine-In"/>
    <x v="6"/>
    <x v="1"/>
  </r>
  <r>
    <x v="564"/>
    <x v="268"/>
    <s v="Karan Joshi"/>
    <x v="9"/>
    <x v="18"/>
    <x v="6"/>
    <n v="3"/>
    <n v="170"/>
    <n v="85"/>
    <n v="23"/>
    <n v="487"/>
    <n v="232"/>
    <x v="1"/>
    <s v="Takeaway"/>
    <x v="2"/>
    <x v="2"/>
  </r>
  <r>
    <x v="565"/>
    <x v="95"/>
    <s v="Ritika Das"/>
    <x v="3"/>
    <x v="2"/>
    <x v="2"/>
    <n v="3"/>
    <n v="110"/>
    <n v="55"/>
    <n v="13"/>
    <n v="317"/>
    <n v="152"/>
    <x v="2"/>
    <s v="Delivery"/>
    <x v="0"/>
    <x v="2"/>
  </r>
  <r>
    <x v="566"/>
    <x v="168"/>
    <s v="Ishita Roy"/>
    <x v="2"/>
    <x v="10"/>
    <x v="5"/>
    <n v="1"/>
    <n v="190"/>
    <n v="95"/>
    <n v="14"/>
    <n v="176"/>
    <n v="81"/>
    <x v="1"/>
    <s v="Takeaway"/>
    <x v="1"/>
    <x v="1"/>
  </r>
  <r>
    <x v="567"/>
    <x v="21"/>
    <s v="Neha Gupta"/>
    <x v="4"/>
    <x v="7"/>
    <x v="3"/>
    <n v="4"/>
    <n v="150"/>
    <n v="75"/>
    <n v="33"/>
    <n v="567"/>
    <n v="267"/>
    <x v="2"/>
    <s v="Delivery"/>
    <x v="0"/>
    <x v="2"/>
  </r>
  <r>
    <x v="568"/>
    <x v="213"/>
    <s v="Ritika Das"/>
    <x v="2"/>
    <x v="6"/>
    <x v="0"/>
    <n v="5"/>
    <n v="100"/>
    <n v="50"/>
    <n v="27"/>
    <n v="473"/>
    <n v="223"/>
    <x v="2"/>
    <s v="Takeaway"/>
    <x v="7"/>
    <x v="0"/>
  </r>
  <r>
    <x v="569"/>
    <x v="136"/>
    <s v="Simran Kaur"/>
    <x v="7"/>
    <x v="0"/>
    <x v="0"/>
    <n v="5"/>
    <n v="240"/>
    <n v="120"/>
    <n v="48"/>
    <n v="1152"/>
    <n v="552"/>
    <x v="0"/>
    <s v="Delivery"/>
    <x v="6"/>
    <x v="1"/>
  </r>
  <r>
    <x v="570"/>
    <x v="210"/>
    <s v="Yash Patil"/>
    <x v="5"/>
    <x v="1"/>
    <x v="1"/>
    <n v="5"/>
    <n v="140"/>
    <n v="70"/>
    <n v="40"/>
    <n v="660"/>
    <n v="310"/>
    <x v="3"/>
    <s v="Dine-In"/>
    <x v="8"/>
    <x v="0"/>
  </r>
  <r>
    <x v="571"/>
    <x v="169"/>
    <s v="Harsh Vyas"/>
    <x v="9"/>
    <x v="16"/>
    <x v="3"/>
    <n v="4"/>
    <n v="120"/>
    <n v="60"/>
    <n v="36"/>
    <n v="444"/>
    <n v="204"/>
    <x v="4"/>
    <s v="Delivery"/>
    <x v="8"/>
    <x v="2"/>
  </r>
  <r>
    <x v="572"/>
    <x v="89"/>
    <s v="Ananya Singh"/>
    <x v="2"/>
    <x v="16"/>
    <x v="3"/>
    <n v="4"/>
    <n v="120"/>
    <n v="60"/>
    <n v="30"/>
    <n v="450"/>
    <n v="210"/>
    <x v="4"/>
    <s v="Takeaway"/>
    <x v="3"/>
    <x v="0"/>
  </r>
  <r>
    <x v="573"/>
    <x v="51"/>
    <s v="Karan Joshi"/>
    <x v="4"/>
    <x v="1"/>
    <x v="1"/>
    <n v="2"/>
    <n v="140"/>
    <n v="70"/>
    <n v="37"/>
    <n v="243"/>
    <n v="103"/>
    <x v="1"/>
    <s v="Takeaway"/>
    <x v="4"/>
    <x v="2"/>
  </r>
  <r>
    <x v="574"/>
    <x v="186"/>
    <s v="Aarav Sharma"/>
    <x v="4"/>
    <x v="12"/>
    <x v="4"/>
    <n v="3"/>
    <n v="170"/>
    <n v="85"/>
    <n v="50"/>
    <n v="460"/>
    <n v="205"/>
    <x v="2"/>
    <s v="Takeaway"/>
    <x v="1"/>
    <x v="2"/>
  </r>
  <r>
    <x v="575"/>
    <x v="9"/>
    <s v="Sneha Nair"/>
    <x v="2"/>
    <x v="8"/>
    <x v="5"/>
    <n v="1"/>
    <n v="210"/>
    <n v="105"/>
    <n v="20"/>
    <n v="190"/>
    <n v="85"/>
    <x v="2"/>
    <s v="Delivery"/>
    <x v="7"/>
    <x v="0"/>
  </r>
  <r>
    <x v="576"/>
    <x v="275"/>
    <s v="Karan Joshi"/>
    <x v="7"/>
    <x v="11"/>
    <x v="3"/>
    <n v="3"/>
    <n v="200"/>
    <n v="100"/>
    <n v="0"/>
    <n v="600"/>
    <n v="300"/>
    <x v="0"/>
    <s v="Dine-In"/>
    <x v="7"/>
    <x v="1"/>
  </r>
  <r>
    <x v="577"/>
    <x v="165"/>
    <s v="Pooja Kulkarni"/>
    <x v="5"/>
    <x v="13"/>
    <x v="2"/>
    <n v="5"/>
    <n v="150"/>
    <n v="75"/>
    <n v="19"/>
    <n v="731"/>
    <n v="356"/>
    <x v="1"/>
    <s v="Dine-In"/>
    <x v="6"/>
    <x v="2"/>
  </r>
  <r>
    <x v="578"/>
    <x v="264"/>
    <s v="Priya Patel"/>
    <x v="5"/>
    <x v="2"/>
    <x v="2"/>
    <n v="3"/>
    <n v="110"/>
    <n v="55"/>
    <n v="15"/>
    <n v="315"/>
    <n v="150"/>
    <x v="1"/>
    <s v="Delivery"/>
    <x v="4"/>
    <x v="1"/>
  </r>
  <r>
    <x v="579"/>
    <x v="231"/>
    <s v="Simran Kaur"/>
    <x v="6"/>
    <x v="13"/>
    <x v="2"/>
    <n v="1"/>
    <n v="150"/>
    <n v="75"/>
    <n v="39"/>
    <n v="111"/>
    <n v="36"/>
    <x v="0"/>
    <s v="Delivery"/>
    <x v="3"/>
    <x v="0"/>
  </r>
  <r>
    <x v="580"/>
    <x v="276"/>
    <s v="Ishita Roy"/>
    <x v="8"/>
    <x v="8"/>
    <x v="5"/>
    <n v="4"/>
    <n v="210"/>
    <n v="105"/>
    <n v="27"/>
    <n v="813"/>
    <n v="393"/>
    <x v="2"/>
    <s v="Takeaway"/>
    <x v="3"/>
    <x v="1"/>
  </r>
  <r>
    <x v="581"/>
    <x v="252"/>
    <s v="Sneha Nair"/>
    <x v="8"/>
    <x v="0"/>
    <x v="0"/>
    <n v="5"/>
    <n v="240"/>
    <n v="120"/>
    <n v="6"/>
    <n v="1194"/>
    <n v="594"/>
    <x v="1"/>
    <s v="Dine-In"/>
    <x v="8"/>
    <x v="0"/>
  </r>
  <r>
    <x v="582"/>
    <x v="190"/>
    <s v="Tanvi Bhat"/>
    <x v="7"/>
    <x v="11"/>
    <x v="3"/>
    <n v="1"/>
    <n v="200"/>
    <n v="100"/>
    <n v="46"/>
    <n v="154"/>
    <n v="54"/>
    <x v="3"/>
    <s v="Delivery"/>
    <x v="2"/>
    <x v="0"/>
  </r>
  <r>
    <x v="583"/>
    <x v="88"/>
    <s v="Akash Naik"/>
    <x v="1"/>
    <x v="18"/>
    <x v="6"/>
    <n v="4"/>
    <n v="170"/>
    <n v="85"/>
    <n v="39"/>
    <n v="641"/>
    <n v="301"/>
    <x v="2"/>
    <s v="Takeaway"/>
    <x v="6"/>
    <x v="2"/>
  </r>
  <r>
    <x v="584"/>
    <x v="274"/>
    <s v="Vivek Nair"/>
    <x v="2"/>
    <x v="17"/>
    <x v="4"/>
    <n v="4"/>
    <n v="180"/>
    <n v="90"/>
    <n v="24"/>
    <n v="696"/>
    <n v="336"/>
    <x v="4"/>
    <s v="Takeaway"/>
    <x v="7"/>
    <x v="0"/>
  </r>
  <r>
    <x v="585"/>
    <x v="3"/>
    <s v="Karan Joshi"/>
    <x v="9"/>
    <x v="11"/>
    <x v="3"/>
    <n v="4"/>
    <n v="200"/>
    <n v="100"/>
    <n v="8"/>
    <n v="792"/>
    <n v="392"/>
    <x v="1"/>
    <s v="Dine-In"/>
    <x v="3"/>
    <x v="0"/>
  </r>
  <r>
    <x v="586"/>
    <x v="87"/>
    <s v="Harsh Vyas"/>
    <x v="9"/>
    <x v="1"/>
    <x v="1"/>
    <n v="4"/>
    <n v="140"/>
    <n v="70"/>
    <n v="4"/>
    <n v="556"/>
    <n v="276"/>
    <x v="1"/>
    <s v="Delivery"/>
    <x v="5"/>
    <x v="1"/>
  </r>
  <r>
    <x v="587"/>
    <x v="136"/>
    <s v="Divya Shetty"/>
    <x v="5"/>
    <x v="18"/>
    <x v="6"/>
    <n v="5"/>
    <n v="170"/>
    <n v="85"/>
    <n v="37"/>
    <n v="813"/>
    <n v="388"/>
    <x v="2"/>
    <s v="Delivery"/>
    <x v="1"/>
    <x v="1"/>
  </r>
  <r>
    <x v="588"/>
    <x v="172"/>
    <s v="Yash Patil"/>
    <x v="3"/>
    <x v="1"/>
    <x v="1"/>
    <n v="1"/>
    <n v="140"/>
    <n v="70"/>
    <n v="0"/>
    <n v="140"/>
    <n v="70"/>
    <x v="0"/>
    <s v="Takeaway"/>
    <x v="5"/>
    <x v="0"/>
  </r>
  <r>
    <x v="589"/>
    <x v="14"/>
    <s v="Harsh Vyas"/>
    <x v="3"/>
    <x v="10"/>
    <x v="5"/>
    <n v="2"/>
    <n v="190"/>
    <n v="95"/>
    <n v="5"/>
    <n v="375"/>
    <n v="185"/>
    <x v="4"/>
    <s v="Dine-In"/>
    <x v="8"/>
    <x v="1"/>
  </r>
  <r>
    <x v="590"/>
    <x v="277"/>
    <s v="Meera Desai"/>
    <x v="7"/>
    <x v="6"/>
    <x v="0"/>
    <n v="4"/>
    <n v="100"/>
    <n v="50"/>
    <n v="14"/>
    <n v="386"/>
    <n v="186"/>
    <x v="4"/>
    <s v="Delivery"/>
    <x v="7"/>
    <x v="2"/>
  </r>
  <r>
    <x v="591"/>
    <x v="19"/>
    <s v="Divya Shetty"/>
    <x v="5"/>
    <x v="8"/>
    <x v="5"/>
    <n v="4"/>
    <n v="210"/>
    <n v="105"/>
    <n v="1"/>
    <n v="839"/>
    <n v="419"/>
    <x v="1"/>
    <s v="Takeaway"/>
    <x v="6"/>
    <x v="1"/>
  </r>
  <r>
    <x v="592"/>
    <x v="278"/>
    <s v="Pooja Kulkarni"/>
    <x v="4"/>
    <x v="15"/>
    <x v="3"/>
    <n v="4"/>
    <n v="220"/>
    <n v="110"/>
    <n v="20"/>
    <n v="860"/>
    <n v="420"/>
    <x v="0"/>
    <s v="Dine-In"/>
    <x v="6"/>
    <x v="1"/>
  </r>
  <r>
    <x v="593"/>
    <x v="92"/>
    <s v="Sneha Nair"/>
    <x v="4"/>
    <x v="13"/>
    <x v="2"/>
    <n v="1"/>
    <n v="150"/>
    <n v="75"/>
    <n v="29"/>
    <n v="121"/>
    <n v="46"/>
    <x v="3"/>
    <s v="Delivery"/>
    <x v="8"/>
    <x v="2"/>
  </r>
  <r>
    <x v="594"/>
    <x v="195"/>
    <s v="Sneha Nair"/>
    <x v="2"/>
    <x v="17"/>
    <x v="4"/>
    <n v="2"/>
    <n v="180"/>
    <n v="90"/>
    <n v="31"/>
    <n v="329"/>
    <n v="149"/>
    <x v="0"/>
    <s v="Dine-In"/>
    <x v="1"/>
    <x v="0"/>
  </r>
  <r>
    <x v="595"/>
    <x v="215"/>
    <s v="Ishita Roy"/>
    <x v="2"/>
    <x v="9"/>
    <x v="1"/>
    <n v="5"/>
    <n v="120"/>
    <n v="60"/>
    <n v="38"/>
    <n v="562"/>
    <n v="262"/>
    <x v="2"/>
    <s v="Delivery"/>
    <x v="8"/>
    <x v="0"/>
  </r>
  <r>
    <x v="596"/>
    <x v="174"/>
    <s v="Shruti Rao"/>
    <x v="1"/>
    <x v="0"/>
    <x v="0"/>
    <n v="1"/>
    <n v="240"/>
    <n v="120"/>
    <n v="36"/>
    <n v="204"/>
    <n v="84"/>
    <x v="4"/>
    <s v="Dine-In"/>
    <x v="6"/>
    <x v="1"/>
  </r>
  <r>
    <x v="597"/>
    <x v="144"/>
    <s v="Meera Desai"/>
    <x v="5"/>
    <x v="9"/>
    <x v="1"/>
    <n v="2"/>
    <n v="120"/>
    <n v="60"/>
    <n v="22"/>
    <n v="218"/>
    <n v="98"/>
    <x v="2"/>
    <s v="Takeaway"/>
    <x v="9"/>
    <x v="2"/>
  </r>
  <r>
    <x v="598"/>
    <x v="96"/>
    <s v="Ishita Roy"/>
    <x v="0"/>
    <x v="13"/>
    <x v="2"/>
    <n v="1"/>
    <n v="150"/>
    <n v="75"/>
    <n v="8"/>
    <n v="142"/>
    <n v="67"/>
    <x v="0"/>
    <s v="Delivery"/>
    <x v="5"/>
    <x v="1"/>
  </r>
  <r>
    <x v="599"/>
    <x v="11"/>
    <s v="Manish Yadav"/>
    <x v="4"/>
    <x v="11"/>
    <x v="3"/>
    <n v="3"/>
    <n v="200"/>
    <n v="100"/>
    <n v="15"/>
    <n v="585"/>
    <n v="285"/>
    <x v="0"/>
    <s v="Takeaway"/>
    <x v="2"/>
    <x v="1"/>
  </r>
  <r>
    <x v="600"/>
    <x v="279"/>
    <s v="Mohit Agarwal"/>
    <x v="1"/>
    <x v="14"/>
    <x v="2"/>
    <n v="3"/>
    <n v="130"/>
    <n v="65"/>
    <n v="48"/>
    <n v="342"/>
    <n v="147"/>
    <x v="4"/>
    <s v="Delivery"/>
    <x v="7"/>
    <x v="1"/>
  </r>
  <r>
    <x v="601"/>
    <x v="280"/>
    <s v="Siddharth Jain"/>
    <x v="0"/>
    <x v="3"/>
    <x v="3"/>
    <n v="5"/>
    <n v="180"/>
    <n v="90"/>
    <n v="36"/>
    <n v="864"/>
    <n v="414"/>
    <x v="2"/>
    <s v="Takeaway"/>
    <x v="9"/>
    <x v="1"/>
  </r>
  <r>
    <x v="602"/>
    <x v="121"/>
    <s v="Vikram Rao"/>
    <x v="9"/>
    <x v="15"/>
    <x v="3"/>
    <n v="5"/>
    <n v="220"/>
    <n v="110"/>
    <n v="16"/>
    <n v="1084"/>
    <n v="534"/>
    <x v="2"/>
    <s v="Delivery"/>
    <x v="6"/>
    <x v="2"/>
  </r>
  <r>
    <x v="603"/>
    <x v="145"/>
    <s v="Rahul Verma"/>
    <x v="8"/>
    <x v="15"/>
    <x v="3"/>
    <n v="2"/>
    <n v="220"/>
    <n v="110"/>
    <n v="47"/>
    <n v="393"/>
    <n v="173"/>
    <x v="4"/>
    <s v="Takeaway"/>
    <x v="0"/>
    <x v="2"/>
  </r>
  <r>
    <x v="604"/>
    <x v="190"/>
    <s v="Aditi Kapoor"/>
    <x v="8"/>
    <x v="10"/>
    <x v="5"/>
    <n v="4"/>
    <n v="190"/>
    <n v="95"/>
    <n v="14"/>
    <n v="746"/>
    <n v="366"/>
    <x v="1"/>
    <s v="Dine-In"/>
    <x v="0"/>
    <x v="2"/>
  </r>
  <r>
    <x v="605"/>
    <x v="53"/>
    <s v="Ishita Roy"/>
    <x v="9"/>
    <x v="11"/>
    <x v="3"/>
    <n v="1"/>
    <n v="200"/>
    <n v="100"/>
    <n v="6"/>
    <n v="194"/>
    <n v="94"/>
    <x v="1"/>
    <s v="Delivery"/>
    <x v="7"/>
    <x v="1"/>
  </r>
  <r>
    <x v="606"/>
    <x v="171"/>
    <s v="Ananya Singh"/>
    <x v="1"/>
    <x v="13"/>
    <x v="2"/>
    <n v="5"/>
    <n v="150"/>
    <n v="75"/>
    <n v="13"/>
    <n v="737"/>
    <n v="362"/>
    <x v="3"/>
    <s v="Dine-In"/>
    <x v="9"/>
    <x v="1"/>
  </r>
  <r>
    <x v="607"/>
    <x v="55"/>
    <s v="Meera Desai"/>
    <x v="7"/>
    <x v="4"/>
    <x v="4"/>
    <n v="3"/>
    <n v="160"/>
    <n v="80"/>
    <n v="36"/>
    <n v="444"/>
    <n v="204"/>
    <x v="3"/>
    <s v="Delivery"/>
    <x v="5"/>
    <x v="1"/>
  </r>
  <r>
    <x v="608"/>
    <x v="281"/>
    <s v="Aditi Kapoor"/>
    <x v="0"/>
    <x v="11"/>
    <x v="3"/>
    <n v="4"/>
    <n v="200"/>
    <n v="100"/>
    <n v="10"/>
    <n v="790"/>
    <n v="390"/>
    <x v="3"/>
    <s v="Dine-In"/>
    <x v="8"/>
    <x v="2"/>
  </r>
  <r>
    <x v="609"/>
    <x v="282"/>
    <s v="Rohan Mehta"/>
    <x v="3"/>
    <x v="18"/>
    <x v="6"/>
    <n v="1"/>
    <n v="170"/>
    <n v="85"/>
    <n v="13"/>
    <n v="157"/>
    <n v="72"/>
    <x v="3"/>
    <s v="Dine-In"/>
    <x v="3"/>
    <x v="0"/>
  </r>
  <r>
    <x v="610"/>
    <x v="126"/>
    <s v="Aarav Sharma"/>
    <x v="6"/>
    <x v="15"/>
    <x v="3"/>
    <n v="1"/>
    <n v="220"/>
    <n v="110"/>
    <n v="7"/>
    <n v="213"/>
    <n v="103"/>
    <x v="3"/>
    <s v="Delivery"/>
    <x v="2"/>
    <x v="1"/>
  </r>
  <r>
    <x v="611"/>
    <x v="88"/>
    <s v="Kavya Iyer"/>
    <x v="0"/>
    <x v="8"/>
    <x v="5"/>
    <n v="3"/>
    <n v="210"/>
    <n v="105"/>
    <n v="39"/>
    <n v="591"/>
    <n v="276"/>
    <x v="2"/>
    <s v="Dine-In"/>
    <x v="7"/>
    <x v="2"/>
  </r>
  <r>
    <x v="612"/>
    <x v="89"/>
    <s v="Ananya Singh"/>
    <x v="9"/>
    <x v="2"/>
    <x v="2"/>
    <n v="3"/>
    <n v="110"/>
    <n v="55"/>
    <n v="12"/>
    <n v="318"/>
    <n v="153"/>
    <x v="4"/>
    <s v="Delivery"/>
    <x v="8"/>
    <x v="2"/>
  </r>
  <r>
    <x v="613"/>
    <x v="236"/>
    <s v="Sneha Nair"/>
    <x v="8"/>
    <x v="6"/>
    <x v="0"/>
    <n v="1"/>
    <n v="100"/>
    <n v="50"/>
    <n v="31"/>
    <n v="69"/>
    <n v="19"/>
    <x v="4"/>
    <s v="Takeaway"/>
    <x v="7"/>
    <x v="1"/>
  </r>
  <r>
    <x v="614"/>
    <x v="124"/>
    <s v="Ritika Das"/>
    <x v="8"/>
    <x v="10"/>
    <x v="5"/>
    <n v="2"/>
    <n v="190"/>
    <n v="95"/>
    <n v="47"/>
    <n v="333"/>
    <n v="143"/>
    <x v="4"/>
    <s v="Dine-In"/>
    <x v="1"/>
    <x v="2"/>
  </r>
  <r>
    <x v="615"/>
    <x v="185"/>
    <s v="Aarav Sharma"/>
    <x v="0"/>
    <x v="0"/>
    <x v="0"/>
    <n v="3"/>
    <n v="240"/>
    <n v="120"/>
    <n v="50"/>
    <n v="670"/>
    <n v="310"/>
    <x v="3"/>
    <s v="Dine-In"/>
    <x v="3"/>
    <x v="0"/>
  </r>
  <r>
    <x v="616"/>
    <x v="10"/>
    <s v="Meera Desai"/>
    <x v="3"/>
    <x v="5"/>
    <x v="4"/>
    <n v="2"/>
    <n v="220"/>
    <n v="110"/>
    <n v="34"/>
    <n v="406"/>
    <n v="186"/>
    <x v="4"/>
    <s v="Takeaway"/>
    <x v="4"/>
    <x v="1"/>
  </r>
  <r>
    <x v="617"/>
    <x v="268"/>
    <s v="Ritika Das"/>
    <x v="8"/>
    <x v="11"/>
    <x v="3"/>
    <n v="4"/>
    <n v="200"/>
    <n v="100"/>
    <n v="44"/>
    <n v="756"/>
    <n v="356"/>
    <x v="2"/>
    <s v="Takeaway"/>
    <x v="8"/>
    <x v="2"/>
  </r>
  <r>
    <x v="618"/>
    <x v="243"/>
    <s v="Karan Joshi"/>
    <x v="7"/>
    <x v="9"/>
    <x v="1"/>
    <n v="4"/>
    <n v="120"/>
    <n v="60"/>
    <n v="44"/>
    <n v="436"/>
    <n v="196"/>
    <x v="3"/>
    <s v="Takeaway"/>
    <x v="1"/>
    <x v="1"/>
  </r>
  <r>
    <x v="619"/>
    <x v="214"/>
    <s v="Karan Joshi"/>
    <x v="5"/>
    <x v="16"/>
    <x v="3"/>
    <n v="1"/>
    <n v="120"/>
    <n v="60"/>
    <n v="21"/>
    <n v="99"/>
    <n v="39"/>
    <x v="4"/>
    <s v="Dine-In"/>
    <x v="6"/>
    <x v="0"/>
  </r>
  <r>
    <x v="620"/>
    <x v="283"/>
    <s v="Nisha Sharma"/>
    <x v="9"/>
    <x v="9"/>
    <x v="1"/>
    <n v="2"/>
    <n v="120"/>
    <n v="60"/>
    <n v="30"/>
    <n v="210"/>
    <n v="90"/>
    <x v="3"/>
    <s v="Takeaway"/>
    <x v="4"/>
    <x v="1"/>
  </r>
  <r>
    <x v="621"/>
    <x v="24"/>
    <s v="Ishita Roy"/>
    <x v="1"/>
    <x v="11"/>
    <x v="3"/>
    <n v="2"/>
    <n v="200"/>
    <n v="100"/>
    <n v="35"/>
    <n v="365"/>
    <n v="165"/>
    <x v="3"/>
    <s v="Dine-In"/>
    <x v="3"/>
    <x v="1"/>
  </r>
  <r>
    <x v="622"/>
    <x v="268"/>
    <s v="Nisha Sharma"/>
    <x v="2"/>
    <x v="12"/>
    <x v="4"/>
    <n v="1"/>
    <n v="170"/>
    <n v="85"/>
    <n v="37"/>
    <n v="133"/>
    <n v="48"/>
    <x v="0"/>
    <s v="Delivery"/>
    <x v="1"/>
    <x v="2"/>
  </r>
  <r>
    <x v="623"/>
    <x v="150"/>
    <s v="Shruti Rao"/>
    <x v="5"/>
    <x v="2"/>
    <x v="2"/>
    <n v="4"/>
    <n v="110"/>
    <n v="55"/>
    <n v="48"/>
    <n v="392"/>
    <n v="172"/>
    <x v="3"/>
    <s v="Delivery"/>
    <x v="7"/>
    <x v="1"/>
  </r>
  <r>
    <x v="624"/>
    <x v="116"/>
    <s v="Rahul Verma"/>
    <x v="0"/>
    <x v="4"/>
    <x v="4"/>
    <n v="3"/>
    <n v="160"/>
    <n v="80"/>
    <n v="7"/>
    <n v="473"/>
    <n v="233"/>
    <x v="1"/>
    <s v="Delivery"/>
    <x v="7"/>
    <x v="0"/>
  </r>
  <r>
    <x v="625"/>
    <x v="151"/>
    <s v="Rohan Mehta"/>
    <x v="3"/>
    <x v="4"/>
    <x v="4"/>
    <n v="5"/>
    <n v="160"/>
    <n v="80"/>
    <n v="10"/>
    <n v="790"/>
    <n v="390"/>
    <x v="1"/>
    <s v="Dine-In"/>
    <x v="0"/>
    <x v="2"/>
  </r>
  <r>
    <x v="626"/>
    <x v="278"/>
    <s v="Akash Naik"/>
    <x v="5"/>
    <x v="19"/>
    <x v="0"/>
    <n v="2"/>
    <n v="80"/>
    <n v="40"/>
    <n v="29"/>
    <n v="131"/>
    <n v="51"/>
    <x v="1"/>
    <s v="Dine-In"/>
    <x v="3"/>
    <x v="1"/>
  </r>
  <r>
    <x v="627"/>
    <x v="39"/>
    <s v="Harsh Vyas"/>
    <x v="1"/>
    <x v="8"/>
    <x v="5"/>
    <n v="5"/>
    <n v="210"/>
    <n v="105"/>
    <n v="19"/>
    <n v="1031"/>
    <n v="506"/>
    <x v="3"/>
    <s v="Takeaway"/>
    <x v="0"/>
    <x v="1"/>
  </r>
  <r>
    <x v="628"/>
    <x v="229"/>
    <s v="Pooja Kulkarni"/>
    <x v="8"/>
    <x v="16"/>
    <x v="3"/>
    <n v="2"/>
    <n v="120"/>
    <n v="60"/>
    <n v="11"/>
    <n v="229"/>
    <n v="109"/>
    <x v="4"/>
    <s v="Takeaway"/>
    <x v="6"/>
    <x v="2"/>
  </r>
  <r>
    <x v="629"/>
    <x v="251"/>
    <s v="Vivek Nair"/>
    <x v="5"/>
    <x v="15"/>
    <x v="3"/>
    <n v="5"/>
    <n v="220"/>
    <n v="110"/>
    <n v="38"/>
    <n v="1062"/>
    <n v="512"/>
    <x v="4"/>
    <s v="Takeaway"/>
    <x v="1"/>
    <x v="2"/>
  </r>
  <r>
    <x v="630"/>
    <x v="65"/>
    <s v="Ananya Singh"/>
    <x v="2"/>
    <x v="18"/>
    <x v="6"/>
    <n v="4"/>
    <n v="170"/>
    <n v="85"/>
    <n v="42"/>
    <n v="638"/>
    <n v="298"/>
    <x v="2"/>
    <s v="Takeaway"/>
    <x v="0"/>
    <x v="1"/>
  </r>
  <r>
    <x v="631"/>
    <x v="180"/>
    <s v="Simran Kaur"/>
    <x v="3"/>
    <x v="6"/>
    <x v="0"/>
    <n v="3"/>
    <n v="100"/>
    <n v="50"/>
    <n v="2"/>
    <n v="298"/>
    <n v="148"/>
    <x v="2"/>
    <s v="Delivery"/>
    <x v="9"/>
    <x v="2"/>
  </r>
  <r>
    <x v="632"/>
    <x v="247"/>
    <s v="Rahul Verma"/>
    <x v="2"/>
    <x v="14"/>
    <x v="2"/>
    <n v="1"/>
    <n v="130"/>
    <n v="65"/>
    <n v="14"/>
    <n v="116"/>
    <n v="51"/>
    <x v="2"/>
    <s v="Takeaway"/>
    <x v="2"/>
    <x v="1"/>
  </r>
  <r>
    <x v="633"/>
    <x v="60"/>
    <s v="Simran Kaur"/>
    <x v="6"/>
    <x v="1"/>
    <x v="1"/>
    <n v="2"/>
    <n v="140"/>
    <n v="70"/>
    <n v="42"/>
    <n v="238"/>
    <n v="98"/>
    <x v="2"/>
    <s v="Delivery"/>
    <x v="4"/>
    <x v="0"/>
  </r>
  <r>
    <x v="634"/>
    <x v="184"/>
    <s v="Rahul Verma"/>
    <x v="0"/>
    <x v="9"/>
    <x v="1"/>
    <n v="4"/>
    <n v="120"/>
    <n v="60"/>
    <n v="29"/>
    <n v="451"/>
    <n v="211"/>
    <x v="3"/>
    <s v="Dine-In"/>
    <x v="5"/>
    <x v="2"/>
  </r>
  <r>
    <x v="635"/>
    <x v="80"/>
    <s v="Harsh Vyas"/>
    <x v="4"/>
    <x v="0"/>
    <x v="0"/>
    <n v="2"/>
    <n v="240"/>
    <n v="120"/>
    <n v="26"/>
    <n v="454"/>
    <n v="214"/>
    <x v="0"/>
    <s v="Takeaway"/>
    <x v="8"/>
    <x v="1"/>
  </r>
  <r>
    <x v="636"/>
    <x v="148"/>
    <s v="Kavya Iyer"/>
    <x v="2"/>
    <x v="12"/>
    <x v="4"/>
    <n v="5"/>
    <n v="170"/>
    <n v="85"/>
    <n v="16"/>
    <n v="834"/>
    <n v="409"/>
    <x v="3"/>
    <s v="Dine-In"/>
    <x v="4"/>
    <x v="0"/>
  </r>
  <r>
    <x v="637"/>
    <x v="90"/>
    <s v="Vivek Nair"/>
    <x v="8"/>
    <x v="9"/>
    <x v="1"/>
    <n v="3"/>
    <n v="120"/>
    <n v="60"/>
    <n v="21"/>
    <n v="339"/>
    <n v="159"/>
    <x v="2"/>
    <s v="Takeaway"/>
    <x v="6"/>
    <x v="2"/>
  </r>
  <r>
    <x v="638"/>
    <x v="51"/>
    <s v="Nisha Sharma"/>
    <x v="6"/>
    <x v="1"/>
    <x v="1"/>
    <n v="5"/>
    <n v="140"/>
    <n v="70"/>
    <n v="11"/>
    <n v="689"/>
    <n v="339"/>
    <x v="2"/>
    <s v="Dine-In"/>
    <x v="5"/>
    <x v="2"/>
  </r>
  <r>
    <x v="639"/>
    <x v="45"/>
    <s v="Divya Shetty"/>
    <x v="5"/>
    <x v="16"/>
    <x v="3"/>
    <n v="2"/>
    <n v="120"/>
    <n v="60"/>
    <n v="14"/>
    <n v="226"/>
    <n v="106"/>
    <x v="0"/>
    <s v="Takeaway"/>
    <x v="2"/>
    <x v="2"/>
  </r>
  <r>
    <x v="640"/>
    <x v="160"/>
    <s v="Sneha Nair"/>
    <x v="0"/>
    <x v="17"/>
    <x v="4"/>
    <n v="3"/>
    <n v="180"/>
    <n v="90"/>
    <n v="50"/>
    <n v="490"/>
    <n v="220"/>
    <x v="1"/>
    <s v="Delivery"/>
    <x v="5"/>
    <x v="0"/>
  </r>
  <r>
    <x v="641"/>
    <x v="229"/>
    <s v="Aditya Kumar"/>
    <x v="4"/>
    <x v="3"/>
    <x v="3"/>
    <n v="2"/>
    <n v="180"/>
    <n v="90"/>
    <n v="14"/>
    <n v="346"/>
    <n v="166"/>
    <x v="3"/>
    <s v="Takeaway"/>
    <x v="5"/>
    <x v="1"/>
  </r>
  <r>
    <x v="642"/>
    <x v="203"/>
    <s v="Aditya Kumar"/>
    <x v="8"/>
    <x v="3"/>
    <x v="3"/>
    <n v="1"/>
    <n v="180"/>
    <n v="90"/>
    <n v="7"/>
    <n v="173"/>
    <n v="83"/>
    <x v="0"/>
    <s v="Dine-In"/>
    <x v="2"/>
    <x v="0"/>
  </r>
  <r>
    <x v="643"/>
    <x v="100"/>
    <s v="Siddharth Jain"/>
    <x v="9"/>
    <x v="19"/>
    <x v="0"/>
    <n v="2"/>
    <n v="80"/>
    <n v="40"/>
    <n v="41"/>
    <n v="119"/>
    <n v="39"/>
    <x v="4"/>
    <s v="Delivery"/>
    <x v="3"/>
    <x v="0"/>
  </r>
  <r>
    <x v="644"/>
    <x v="284"/>
    <s v="Vikram Rao"/>
    <x v="3"/>
    <x v="9"/>
    <x v="1"/>
    <n v="5"/>
    <n v="120"/>
    <n v="60"/>
    <n v="27"/>
    <n v="573"/>
    <n v="273"/>
    <x v="3"/>
    <s v="Dine-In"/>
    <x v="5"/>
    <x v="0"/>
  </r>
  <r>
    <x v="645"/>
    <x v="41"/>
    <s v="Divya Shetty"/>
    <x v="1"/>
    <x v="16"/>
    <x v="3"/>
    <n v="4"/>
    <n v="120"/>
    <n v="60"/>
    <n v="32"/>
    <n v="448"/>
    <n v="208"/>
    <x v="1"/>
    <s v="Dine-In"/>
    <x v="3"/>
    <x v="0"/>
  </r>
  <r>
    <x v="646"/>
    <x v="108"/>
    <s v="Priya Patel"/>
    <x v="7"/>
    <x v="1"/>
    <x v="1"/>
    <n v="5"/>
    <n v="140"/>
    <n v="70"/>
    <n v="3"/>
    <n v="697"/>
    <n v="347"/>
    <x v="3"/>
    <s v="Takeaway"/>
    <x v="4"/>
    <x v="0"/>
  </r>
  <r>
    <x v="647"/>
    <x v="79"/>
    <s v="Akash Naik"/>
    <x v="0"/>
    <x v="11"/>
    <x v="3"/>
    <n v="4"/>
    <n v="200"/>
    <n v="100"/>
    <n v="48"/>
    <n v="752"/>
    <n v="352"/>
    <x v="0"/>
    <s v="Delivery"/>
    <x v="5"/>
    <x v="1"/>
  </r>
  <r>
    <x v="648"/>
    <x v="46"/>
    <s v="Pooja Kulkarni"/>
    <x v="5"/>
    <x v="2"/>
    <x v="2"/>
    <n v="1"/>
    <n v="110"/>
    <n v="55"/>
    <n v="44"/>
    <n v="66"/>
    <n v="11"/>
    <x v="1"/>
    <s v="Dine-In"/>
    <x v="1"/>
    <x v="2"/>
  </r>
  <r>
    <x v="649"/>
    <x v="182"/>
    <s v="Kavya Iyer"/>
    <x v="3"/>
    <x v="17"/>
    <x v="4"/>
    <n v="4"/>
    <n v="180"/>
    <n v="90"/>
    <n v="36"/>
    <n v="684"/>
    <n v="324"/>
    <x v="3"/>
    <s v="Takeaway"/>
    <x v="2"/>
    <x v="1"/>
  </r>
  <r>
    <x v="650"/>
    <x v="45"/>
    <s v="Sneha Nair"/>
    <x v="9"/>
    <x v="5"/>
    <x v="4"/>
    <n v="5"/>
    <n v="220"/>
    <n v="110"/>
    <n v="37"/>
    <n v="1063"/>
    <n v="513"/>
    <x v="1"/>
    <s v="Dine-In"/>
    <x v="9"/>
    <x v="2"/>
  </r>
  <r>
    <x v="651"/>
    <x v="129"/>
    <s v="Nisha Sharma"/>
    <x v="5"/>
    <x v="13"/>
    <x v="2"/>
    <n v="4"/>
    <n v="150"/>
    <n v="75"/>
    <n v="10"/>
    <n v="590"/>
    <n v="290"/>
    <x v="3"/>
    <s v="Takeaway"/>
    <x v="8"/>
    <x v="2"/>
  </r>
  <r>
    <x v="652"/>
    <x v="177"/>
    <s v="Aarav Sharma"/>
    <x v="6"/>
    <x v="8"/>
    <x v="5"/>
    <n v="2"/>
    <n v="210"/>
    <n v="105"/>
    <n v="40"/>
    <n v="380"/>
    <n v="170"/>
    <x v="3"/>
    <s v="Delivery"/>
    <x v="2"/>
    <x v="2"/>
  </r>
  <r>
    <x v="653"/>
    <x v="218"/>
    <s v="Rohan Mehta"/>
    <x v="8"/>
    <x v="12"/>
    <x v="4"/>
    <n v="2"/>
    <n v="170"/>
    <n v="85"/>
    <n v="18"/>
    <n v="322"/>
    <n v="152"/>
    <x v="4"/>
    <s v="Dine-In"/>
    <x v="6"/>
    <x v="1"/>
  </r>
  <r>
    <x v="654"/>
    <x v="209"/>
    <s v="Simran Kaur"/>
    <x v="0"/>
    <x v="17"/>
    <x v="4"/>
    <n v="4"/>
    <n v="180"/>
    <n v="90"/>
    <n v="17"/>
    <n v="703"/>
    <n v="343"/>
    <x v="1"/>
    <s v="Delivery"/>
    <x v="6"/>
    <x v="2"/>
  </r>
  <r>
    <x v="655"/>
    <x v="103"/>
    <s v="Manish Yadav"/>
    <x v="0"/>
    <x v="17"/>
    <x v="4"/>
    <n v="5"/>
    <n v="180"/>
    <n v="90"/>
    <n v="7"/>
    <n v="893"/>
    <n v="443"/>
    <x v="0"/>
    <s v="Takeaway"/>
    <x v="2"/>
    <x v="0"/>
  </r>
  <r>
    <x v="656"/>
    <x v="54"/>
    <s v="Simran Kaur"/>
    <x v="7"/>
    <x v="14"/>
    <x v="2"/>
    <n v="4"/>
    <n v="130"/>
    <n v="65"/>
    <n v="10"/>
    <n v="510"/>
    <n v="250"/>
    <x v="3"/>
    <s v="Delivery"/>
    <x v="0"/>
    <x v="0"/>
  </r>
  <r>
    <x v="657"/>
    <x v="256"/>
    <s v="Akash Naik"/>
    <x v="4"/>
    <x v="9"/>
    <x v="1"/>
    <n v="1"/>
    <n v="120"/>
    <n v="60"/>
    <n v="26"/>
    <n v="94"/>
    <n v="34"/>
    <x v="4"/>
    <s v="Dine-In"/>
    <x v="5"/>
    <x v="0"/>
  </r>
  <r>
    <x v="658"/>
    <x v="17"/>
    <s v="Yash Patil"/>
    <x v="9"/>
    <x v="14"/>
    <x v="2"/>
    <n v="4"/>
    <n v="130"/>
    <n v="65"/>
    <n v="7"/>
    <n v="513"/>
    <n v="253"/>
    <x v="0"/>
    <s v="Delivery"/>
    <x v="5"/>
    <x v="2"/>
  </r>
  <r>
    <x v="659"/>
    <x v="215"/>
    <s v="Priya Patel"/>
    <x v="8"/>
    <x v="10"/>
    <x v="5"/>
    <n v="2"/>
    <n v="190"/>
    <n v="95"/>
    <n v="11"/>
    <n v="369"/>
    <n v="179"/>
    <x v="3"/>
    <s v="Takeaway"/>
    <x v="7"/>
    <x v="0"/>
  </r>
  <r>
    <x v="660"/>
    <x v="147"/>
    <s v="Divya Shetty"/>
    <x v="1"/>
    <x v="16"/>
    <x v="3"/>
    <n v="2"/>
    <n v="120"/>
    <n v="60"/>
    <n v="25"/>
    <n v="215"/>
    <n v="95"/>
    <x v="3"/>
    <s v="Takeaway"/>
    <x v="8"/>
    <x v="2"/>
  </r>
  <r>
    <x v="661"/>
    <x v="125"/>
    <s v="Divya Shetty"/>
    <x v="4"/>
    <x v="13"/>
    <x v="2"/>
    <n v="1"/>
    <n v="150"/>
    <n v="75"/>
    <n v="22"/>
    <n v="128"/>
    <n v="53"/>
    <x v="3"/>
    <s v="Takeaway"/>
    <x v="8"/>
    <x v="2"/>
  </r>
  <r>
    <x v="662"/>
    <x v="199"/>
    <s v="Vikram Rao"/>
    <x v="1"/>
    <x v="14"/>
    <x v="2"/>
    <n v="1"/>
    <n v="130"/>
    <n v="65"/>
    <n v="27"/>
    <n v="103"/>
    <n v="38"/>
    <x v="0"/>
    <s v="Takeaway"/>
    <x v="8"/>
    <x v="2"/>
  </r>
  <r>
    <x v="663"/>
    <x v="8"/>
    <s v="Ritika Das"/>
    <x v="7"/>
    <x v="5"/>
    <x v="4"/>
    <n v="1"/>
    <n v="220"/>
    <n v="110"/>
    <n v="23"/>
    <n v="197"/>
    <n v="87"/>
    <x v="1"/>
    <s v="Delivery"/>
    <x v="3"/>
    <x v="0"/>
  </r>
  <r>
    <x v="664"/>
    <x v="50"/>
    <s v="Aarav Sharma"/>
    <x v="0"/>
    <x v="2"/>
    <x v="2"/>
    <n v="2"/>
    <n v="110"/>
    <n v="55"/>
    <n v="26"/>
    <n v="194"/>
    <n v="84"/>
    <x v="4"/>
    <s v="Dine-In"/>
    <x v="8"/>
    <x v="2"/>
  </r>
  <r>
    <x v="665"/>
    <x v="150"/>
    <s v="Vivek Nair"/>
    <x v="9"/>
    <x v="16"/>
    <x v="3"/>
    <n v="3"/>
    <n v="120"/>
    <n v="60"/>
    <n v="28"/>
    <n v="332"/>
    <n v="152"/>
    <x v="4"/>
    <s v="Delivery"/>
    <x v="9"/>
    <x v="1"/>
  </r>
  <r>
    <x v="666"/>
    <x v="278"/>
    <s v="Vivek Nair"/>
    <x v="4"/>
    <x v="17"/>
    <x v="4"/>
    <n v="4"/>
    <n v="180"/>
    <n v="90"/>
    <n v="0"/>
    <n v="720"/>
    <n v="360"/>
    <x v="3"/>
    <s v="Takeaway"/>
    <x v="7"/>
    <x v="1"/>
  </r>
  <r>
    <x v="667"/>
    <x v="143"/>
    <s v="Mohit Agarwal"/>
    <x v="3"/>
    <x v="2"/>
    <x v="2"/>
    <n v="3"/>
    <n v="110"/>
    <n v="55"/>
    <n v="23"/>
    <n v="307"/>
    <n v="142"/>
    <x v="3"/>
    <s v="Takeaway"/>
    <x v="1"/>
    <x v="1"/>
  </r>
  <r>
    <x v="668"/>
    <x v="33"/>
    <s v="Meera Desai"/>
    <x v="7"/>
    <x v="16"/>
    <x v="3"/>
    <n v="2"/>
    <n v="120"/>
    <n v="60"/>
    <n v="22"/>
    <n v="218"/>
    <n v="98"/>
    <x v="4"/>
    <s v="Dine-In"/>
    <x v="3"/>
    <x v="0"/>
  </r>
  <r>
    <x v="669"/>
    <x v="217"/>
    <s v="Arjun Reddy"/>
    <x v="5"/>
    <x v="1"/>
    <x v="1"/>
    <n v="2"/>
    <n v="140"/>
    <n v="70"/>
    <n v="36"/>
    <n v="244"/>
    <n v="104"/>
    <x v="3"/>
    <s v="Dine-In"/>
    <x v="5"/>
    <x v="1"/>
  </r>
  <r>
    <x v="670"/>
    <x v="203"/>
    <s v="Tanvi Bhat"/>
    <x v="1"/>
    <x v="11"/>
    <x v="3"/>
    <n v="2"/>
    <n v="200"/>
    <n v="100"/>
    <n v="22"/>
    <n v="378"/>
    <n v="178"/>
    <x v="1"/>
    <s v="Delivery"/>
    <x v="1"/>
    <x v="0"/>
  </r>
  <r>
    <x v="671"/>
    <x v="24"/>
    <s v="Meera Desai"/>
    <x v="0"/>
    <x v="11"/>
    <x v="3"/>
    <n v="5"/>
    <n v="200"/>
    <n v="100"/>
    <n v="15"/>
    <n v="985"/>
    <n v="485"/>
    <x v="2"/>
    <s v="Takeaway"/>
    <x v="5"/>
    <x v="0"/>
  </r>
  <r>
    <x v="672"/>
    <x v="184"/>
    <s v="Meera Desai"/>
    <x v="6"/>
    <x v="0"/>
    <x v="0"/>
    <n v="1"/>
    <n v="240"/>
    <n v="120"/>
    <n v="15"/>
    <n v="225"/>
    <n v="105"/>
    <x v="0"/>
    <s v="Delivery"/>
    <x v="0"/>
    <x v="1"/>
  </r>
  <r>
    <x v="673"/>
    <x v="196"/>
    <s v="Divya Shetty"/>
    <x v="4"/>
    <x v="6"/>
    <x v="0"/>
    <n v="4"/>
    <n v="100"/>
    <n v="50"/>
    <n v="13"/>
    <n v="387"/>
    <n v="187"/>
    <x v="0"/>
    <s v="Takeaway"/>
    <x v="3"/>
    <x v="1"/>
  </r>
  <r>
    <x v="674"/>
    <x v="285"/>
    <s v="Neha Gupta"/>
    <x v="9"/>
    <x v="7"/>
    <x v="3"/>
    <n v="2"/>
    <n v="150"/>
    <n v="75"/>
    <n v="44"/>
    <n v="256"/>
    <n v="106"/>
    <x v="3"/>
    <s v="Delivery"/>
    <x v="3"/>
    <x v="0"/>
  </r>
  <r>
    <x v="675"/>
    <x v="92"/>
    <s v="Siddharth Jain"/>
    <x v="5"/>
    <x v="17"/>
    <x v="4"/>
    <n v="3"/>
    <n v="180"/>
    <n v="90"/>
    <n v="14"/>
    <n v="526"/>
    <n v="256"/>
    <x v="4"/>
    <s v="Delivery"/>
    <x v="1"/>
    <x v="1"/>
  </r>
  <r>
    <x v="676"/>
    <x v="236"/>
    <s v="Divya Shetty"/>
    <x v="9"/>
    <x v="18"/>
    <x v="6"/>
    <n v="5"/>
    <n v="170"/>
    <n v="85"/>
    <n v="43"/>
    <n v="807"/>
    <n v="382"/>
    <x v="0"/>
    <s v="Dine-In"/>
    <x v="8"/>
    <x v="2"/>
  </r>
  <r>
    <x v="677"/>
    <x v="234"/>
    <s v="Divya Shetty"/>
    <x v="5"/>
    <x v="13"/>
    <x v="2"/>
    <n v="4"/>
    <n v="150"/>
    <n v="75"/>
    <n v="26"/>
    <n v="574"/>
    <n v="274"/>
    <x v="1"/>
    <s v="Takeaway"/>
    <x v="5"/>
    <x v="0"/>
  </r>
  <r>
    <x v="678"/>
    <x v="86"/>
    <s v="Karan Joshi"/>
    <x v="6"/>
    <x v="19"/>
    <x v="0"/>
    <n v="5"/>
    <n v="80"/>
    <n v="40"/>
    <n v="0"/>
    <n v="400"/>
    <n v="200"/>
    <x v="1"/>
    <s v="Dine-In"/>
    <x v="5"/>
    <x v="0"/>
  </r>
  <r>
    <x v="679"/>
    <x v="223"/>
    <s v="Vivek Nair"/>
    <x v="3"/>
    <x v="6"/>
    <x v="0"/>
    <n v="1"/>
    <n v="100"/>
    <n v="50"/>
    <n v="7"/>
    <n v="93"/>
    <n v="43"/>
    <x v="2"/>
    <s v="Dine-In"/>
    <x v="4"/>
    <x v="2"/>
  </r>
  <r>
    <x v="680"/>
    <x v="49"/>
    <s v="Siddharth Jain"/>
    <x v="1"/>
    <x v="14"/>
    <x v="2"/>
    <n v="4"/>
    <n v="130"/>
    <n v="65"/>
    <n v="0"/>
    <n v="520"/>
    <n v="260"/>
    <x v="1"/>
    <s v="Dine-In"/>
    <x v="0"/>
    <x v="2"/>
  </r>
  <r>
    <x v="681"/>
    <x v="268"/>
    <s v="Nisha Sharma"/>
    <x v="6"/>
    <x v="13"/>
    <x v="2"/>
    <n v="2"/>
    <n v="150"/>
    <n v="75"/>
    <n v="8"/>
    <n v="292"/>
    <n v="142"/>
    <x v="3"/>
    <s v="Delivery"/>
    <x v="6"/>
    <x v="0"/>
  </r>
  <r>
    <x v="682"/>
    <x v="105"/>
    <s v="Neha Gupta"/>
    <x v="6"/>
    <x v="17"/>
    <x v="4"/>
    <n v="4"/>
    <n v="180"/>
    <n v="90"/>
    <n v="17"/>
    <n v="703"/>
    <n v="343"/>
    <x v="3"/>
    <s v="Takeaway"/>
    <x v="6"/>
    <x v="0"/>
  </r>
  <r>
    <x v="683"/>
    <x v="263"/>
    <s v="Divya Shetty"/>
    <x v="8"/>
    <x v="12"/>
    <x v="4"/>
    <n v="5"/>
    <n v="170"/>
    <n v="85"/>
    <n v="9"/>
    <n v="841"/>
    <n v="416"/>
    <x v="0"/>
    <s v="Takeaway"/>
    <x v="5"/>
    <x v="0"/>
  </r>
  <r>
    <x v="684"/>
    <x v="168"/>
    <s v="Aditi Kapoor"/>
    <x v="9"/>
    <x v="1"/>
    <x v="1"/>
    <n v="4"/>
    <n v="140"/>
    <n v="70"/>
    <n v="6"/>
    <n v="554"/>
    <n v="274"/>
    <x v="3"/>
    <s v="Takeaway"/>
    <x v="5"/>
    <x v="1"/>
  </r>
  <r>
    <x v="685"/>
    <x v="24"/>
    <s v="Ishita Roy"/>
    <x v="4"/>
    <x v="14"/>
    <x v="2"/>
    <n v="2"/>
    <n v="130"/>
    <n v="65"/>
    <n v="16"/>
    <n v="244"/>
    <n v="114"/>
    <x v="1"/>
    <s v="Takeaway"/>
    <x v="1"/>
    <x v="2"/>
  </r>
  <r>
    <x v="686"/>
    <x v="138"/>
    <s v="Ritika Das"/>
    <x v="4"/>
    <x v="6"/>
    <x v="0"/>
    <n v="2"/>
    <n v="100"/>
    <n v="50"/>
    <n v="28"/>
    <n v="172"/>
    <n v="72"/>
    <x v="0"/>
    <s v="Dine-In"/>
    <x v="3"/>
    <x v="2"/>
  </r>
  <r>
    <x v="687"/>
    <x v="73"/>
    <s v="Harsh Vyas"/>
    <x v="7"/>
    <x v="9"/>
    <x v="1"/>
    <n v="4"/>
    <n v="120"/>
    <n v="60"/>
    <n v="3"/>
    <n v="477"/>
    <n v="237"/>
    <x v="2"/>
    <s v="Delivery"/>
    <x v="2"/>
    <x v="2"/>
  </r>
  <r>
    <x v="688"/>
    <x v="33"/>
    <s v="Aarav Sharma"/>
    <x v="6"/>
    <x v="18"/>
    <x v="6"/>
    <n v="4"/>
    <n v="170"/>
    <n v="85"/>
    <n v="17"/>
    <n v="663"/>
    <n v="323"/>
    <x v="4"/>
    <s v="Takeaway"/>
    <x v="2"/>
    <x v="1"/>
  </r>
  <r>
    <x v="689"/>
    <x v="188"/>
    <s v="Neha Gupta"/>
    <x v="7"/>
    <x v="1"/>
    <x v="1"/>
    <n v="4"/>
    <n v="140"/>
    <n v="70"/>
    <n v="21"/>
    <n v="539"/>
    <n v="259"/>
    <x v="1"/>
    <s v="Delivery"/>
    <x v="6"/>
    <x v="2"/>
  </r>
  <r>
    <x v="690"/>
    <x v="88"/>
    <s v="Nisha Sharma"/>
    <x v="8"/>
    <x v="13"/>
    <x v="2"/>
    <n v="5"/>
    <n v="150"/>
    <n v="75"/>
    <n v="5"/>
    <n v="745"/>
    <n v="370"/>
    <x v="4"/>
    <s v="Delivery"/>
    <x v="5"/>
    <x v="0"/>
  </r>
  <r>
    <x v="691"/>
    <x v="256"/>
    <s v="Vikram Rao"/>
    <x v="8"/>
    <x v="9"/>
    <x v="1"/>
    <n v="2"/>
    <n v="120"/>
    <n v="60"/>
    <n v="28"/>
    <n v="212"/>
    <n v="92"/>
    <x v="0"/>
    <s v="Delivery"/>
    <x v="4"/>
    <x v="1"/>
  </r>
  <r>
    <x v="692"/>
    <x v="132"/>
    <s v="Kavya Iyer"/>
    <x v="4"/>
    <x v="7"/>
    <x v="3"/>
    <n v="2"/>
    <n v="150"/>
    <n v="75"/>
    <n v="4"/>
    <n v="296"/>
    <n v="146"/>
    <x v="0"/>
    <s v="Dine-In"/>
    <x v="0"/>
    <x v="1"/>
  </r>
  <r>
    <x v="693"/>
    <x v="162"/>
    <s v="Aarav Sharma"/>
    <x v="4"/>
    <x v="7"/>
    <x v="3"/>
    <n v="3"/>
    <n v="150"/>
    <n v="75"/>
    <n v="7"/>
    <n v="443"/>
    <n v="218"/>
    <x v="3"/>
    <s v="Delivery"/>
    <x v="2"/>
    <x v="0"/>
  </r>
  <r>
    <x v="694"/>
    <x v="247"/>
    <s v="Vikram Rao"/>
    <x v="5"/>
    <x v="19"/>
    <x v="0"/>
    <n v="2"/>
    <n v="80"/>
    <n v="40"/>
    <n v="44"/>
    <n v="116"/>
    <n v="36"/>
    <x v="4"/>
    <s v="Delivery"/>
    <x v="9"/>
    <x v="0"/>
  </r>
  <r>
    <x v="695"/>
    <x v="91"/>
    <s v="Divya Shetty"/>
    <x v="4"/>
    <x v="0"/>
    <x v="0"/>
    <n v="4"/>
    <n v="240"/>
    <n v="120"/>
    <n v="10"/>
    <n v="950"/>
    <n v="470"/>
    <x v="3"/>
    <s v="Takeaway"/>
    <x v="1"/>
    <x v="2"/>
  </r>
  <r>
    <x v="696"/>
    <x v="184"/>
    <s v="Siddharth Jain"/>
    <x v="5"/>
    <x v="9"/>
    <x v="1"/>
    <n v="5"/>
    <n v="120"/>
    <n v="60"/>
    <n v="16"/>
    <n v="584"/>
    <n v="284"/>
    <x v="3"/>
    <s v="Dine-In"/>
    <x v="5"/>
    <x v="0"/>
  </r>
  <r>
    <x v="697"/>
    <x v="275"/>
    <s v="Divya Shetty"/>
    <x v="7"/>
    <x v="0"/>
    <x v="0"/>
    <n v="4"/>
    <n v="240"/>
    <n v="120"/>
    <n v="15"/>
    <n v="945"/>
    <n v="465"/>
    <x v="2"/>
    <s v="Dine-In"/>
    <x v="9"/>
    <x v="1"/>
  </r>
  <r>
    <x v="698"/>
    <x v="131"/>
    <s v="Karan Joshi"/>
    <x v="3"/>
    <x v="4"/>
    <x v="4"/>
    <n v="1"/>
    <n v="160"/>
    <n v="80"/>
    <n v="37"/>
    <n v="123"/>
    <n v="43"/>
    <x v="4"/>
    <s v="Takeaway"/>
    <x v="4"/>
    <x v="2"/>
  </r>
  <r>
    <x v="699"/>
    <x v="72"/>
    <s v="Ananya Singh"/>
    <x v="2"/>
    <x v="12"/>
    <x v="4"/>
    <n v="3"/>
    <n v="170"/>
    <n v="85"/>
    <n v="35"/>
    <n v="475"/>
    <n v="220"/>
    <x v="4"/>
    <s v="Delivery"/>
    <x v="7"/>
    <x v="2"/>
  </r>
  <r>
    <x v="700"/>
    <x v="286"/>
    <s v="Nisha Sharma"/>
    <x v="9"/>
    <x v="3"/>
    <x v="3"/>
    <n v="2"/>
    <n v="180"/>
    <n v="90"/>
    <n v="7"/>
    <n v="353"/>
    <n v="173"/>
    <x v="1"/>
    <s v="Dine-In"/>
    <x v="1"/>
    <x v="1"/>
  </r>
  <r>
    <x v="701"/>
    <x v="191"/>
    <s v="Mohit Agarwal"/>
    <x v="4"/>
    <x v="10"/>
    <x v="5"/>
    <n v="2"/>
    <n v="190"/>
    <n v="95"/>
    <n v="47"/>
    <n v="333"/>
    <n v="143"/>
    <x v="1"/>
    <s v="Delivery"/>
    <x v="4"/>
    <x v="0"/>
  </r>
  <r>
    <x v="702"/>
    <x v="54"/>
    <s v="Rahul Verma"/>
    <x v="8"/>
    <x v="15"/>
    <x v="3"/>
    <n v="1"/>
    <n v="220"/>
    <n v="110"/>
    <n v="2"/>
    <n v="218"/>
    <n v="108"/>
    <x v="2"/>
    <s v="Takeaway"/>
    <x v="3"/>
    <x v="1"/>
  </r>
  <r>
    <x v="703"/>
    <x v="252"/>
    <s v="Pooja Kulkarni"/>
    <x v="9"/>
    <x v="4"/>
    <x v="4"/>
    <n v="2"/>
    <n v="160"/>
    <n v="80"/>
    <n v="39"/>
    <n v="281"/>
    <n v="121"/>
    <x v="3"/>
    <s v="Dine-In"/>
    <x v="7"/>
    <x v="1"/>
  </r>
  <r>
    <x v="704"/>
    <x v="203"/>
    <s v="Shruti Rao"/>
    <x v="9"/>
    <x v="2"/>
    <x v="2"/>
    <n v="1"/>
    <n v="110"/>
    <n v="55"/>
    <n v="20"/>
    <n v="90"/>
    <n v="35"/>
    <x v="0"/>
    <s v="Dine-In"/>
    <x v="5"/>
    <x v="1"/>
  </r>
  <r>
    <x v="705"/>
    <x v="238"/>
    <s v="Tanvi Bhat"/>
    <x v="5"/>
    <x v="14"/>
    <x v="2"/>
    <n v="3"/>
    <n v="130"/>
    <n v="65"/>
    <n v="33"/>
    <n v="357"/>
    <n v="162"/>
    <x v="3"/>
    <s v="Delivery"/>
    <x v="9"/>
    <x v="0"/>
  </r>
  <r>
    <x v="706"/>
    <x v="28"/>
    <s v="Rohan Mehta"/>
    <x v="0"/>
    <x v="0"/>
    <x v="0"/>
    <n v="5"/>
    <n v="240"/>
    <n v="120"/>
    <n v="42"/>
    <n v="1158"/>
    <n v="558"/>
    <x v="1"/>
    <s v="Delivery"/>
    <x v="8"/>
    <x v="2"/>
  </r>
  <r>
    <x v="707"/>
    <x v="246"/>
    <s v="Siddharth Jain"/>
    <x v="1"/>
    <x v="7"/>
    <x v="3"/>
    <n v="2"/>
    <n v="150"/>
    <n v="75"/>
    <n v="49"/>
    <n v="251"/>
    <n v="101"/>
    <x v="4"/>
    <s v="Delivery"/>
    <x v="5"/>
    <x v="1"/>
  </r>
  <r>
    <x v="708"/>
    <x v="152"/>
    <s v="Siddharth Jain"/>
    <x v="6"/>
    <x v="8"/>
    <x v="5"/>
    <n v="2"/>
    <n v="210"/>
    <n v="105"/>
    <n v="50"/>
    <n v="370"/>
    <n v="160"/>
    <x v="1"/>
    <s v="Delivery"/>
    <x v="3"/>
    <x v="2"/>
  </r>
  <r>
    <x v="709"/>
    <x v="232"/>
    <s v="Aman Mishra"/>
    <x v="8"/>
    <x v="17"/>
    <x v="4"/>
    <n v="2"/>
    <n v="180"/>
    <n v="90"/>
    <n v="9"/>
    <n v="351"/>
    <n v="171"/>
    <x v="0"/>
    <s v="Dine-In"/>
    <x v="9"/>
    <x v="1"/>
  </r>
  <r>
    <x v="710"/>
    <x v="91"/>
    <s v="Aditi Kapoor"/>
    <x v="1"/>
    <x v="19"/>
    <x v="0"/>
    <n v="4"/>
    <n v="80"/>
    <n v="40"/>
    <n v="37"/>
    <n v="283"/>
    <n v="123"/>
    <x v="4"/>
    <s v="Dine-In"/>
    <x v="9"/>
    <x v="1"/>
  </r>
  <r>
    <x v="711"/>
    <x v="287"/>
    <s v="Aditi Kapoor"/>
    <x v="5"/>
    <x v="7"/>
    <x v="3"/>
    <n v="3"/>
    <n v="150"/>
    <n v="75"/>
    <n v="7"/>
    <n v="443"/>
    <n v="218"/>
    <x v="4"/>
    <s v="Takeaway"/>
    <x v="1"/>
    <x v="1"/>
  </r>
  <r>
    <x v="712"/>
    <x v="272"/>
    <s v="Neha Gupta"/>
    <x v="8"/>
    <x v="8"/>
    <x v="5"/>
    <n v="1"/>
    <n v="210"/>
    <n v="105"/>
    <n v="21"/>
    <n v="189"/>
    <n v="84"/>
    <x v="2"/>
    <s v="Delivery"/>
    <x v="8"/>
    <x v="0"/>
  </r>
  <r>
    <x v="713"/>
    <x v="212"/>
    <s v="Neha Gupta"/>
    <x v="9"/>
    <x v="3"/>
    <x v="3"/>
    <n v="2"/>
    <n v="180"/>
    <n v="90"/>
    <n v="34"/>
    <n v="326"/>
    <n v="146"/>
    <x v="0"/>
    <s v="Takeaway"/>
    <x v="0"/>
    <x v="1"/>
  </r>
  <r>
    <x v="714"/>
    <x v="97"/>
    <s v="Manish Yadav"/>
    <x v="2"/>
    <x v="15"/>
    <x v="3"/>
    <n v="4"/>
    <n v="220"/>
    <n v="110"/>
    <n v="42"/>
    <n v="838"/>
    <n v="398"/>
    <x v="1"/>
    <s v="Takeaway"/>
    <x v="5"/>
    <x v="2"/>
  </r>
  <r>
    <x v="715"/>
    <x v="198"/>
    <s v="Rahul Verma"/>
    <x v="8"/>
    <x v="19"/>
    <x v="0"/>
    <n v="5"/>
    <n v="80"/>
    <n v="40"/>
    <n v="7"/>
    <n v="393"/>
    <n v="193"/>
    <x v="2"/>
    <s v="Dine-In"/>
    <x v="9"/>
    <x v="2"/>
  </r>
  <r>
    <x v="716"/>
    <x v="275"/>
    <s v="Manish Yadav"/>
    <x v="7"/>
    <x v="13"/>
    <x v="2"/>
    <n v="1"/>
    <n v="150"/>
    <n v="75"/>
    <n v="43"/>
    <n v="107"/>
    <n v="32"/>
    <x v="0"/>
    <s v="Dine-In"/>
    <x v="6"/>
    <x v="1"/>
  </r>
  <r>
    <x v="717"/>
    <x v="137"/>
    <s v="Rohan Mehta"/>
    <x v="0"/>
    <x v="2"/>
    <x v="2"/>
    <n v="4"/>
    <n v="110"/>
    <n v="55"/>
    <n v="40"/>
    <n v="400"/>
    <n v="180"/>
    <x v="1"/>
    <s v="Delivery"/>
    <x v="0"/>
    <x v="1"/>
  </r>
  <r>
    <x v="718"/>
    <x v="125"/>
    <s v="Divya Shetty"/>
    <x v="6"/>
    <x v="0"/>
    <x v="0"/>
    <n v="5"/>
    <n v="240"/>
    <n v="120"/>
    <n v="40"/>
    <n v="1160"/>
    <n v="560"/>
    <x v="4"/>
    <s v="Delivery"/>
    <x v="4"/>
    <x v="1"/>
  </r>
  <r>
    <x v="719"/>
    <x v="32"/>
    <s v="Tanvi Bhat"/>
    <x v="0"/>
    <x v="10"/>
    <x v="5"/>
    <n v="1"/>
    <n v="190"/>
    <n v="95"/>
    <n v="25"/>
    <n v="165"/>
    <n v="70"/>
    <x v="0"/>
    <s v="Takeaway"/>
    <x v="9"/>
    <x v="1"/>
  </r>
  <r>
    <x v="720"/>
    <x v="240"/>
    <s v="Aditya Kumar"/>
    <x v="8"/>
    <x v="15"/>
    <x v="3"/>
    <n v="4"/>
    <n v="220"/>
    <n v="110"/>
    <n v="27"/>
    <n v="853"/>
    <n v="413"/>
    <x v="2"/>
    <s v="Delivery"/>
    <x v="5"/>
    <x v="1"/>
  </r>
  <r>
    <x v="721"/>
    <x v="28"/>
    <s v="Rohan Mehta"/>
    <x v="4"/>
    <x v="9"/>
    <x v="1"/>
    <n v="3"/>
    <n v="120"/>
    <n v="60"/>
    <n v="29"/>
    <n v="331"/>
    <n v="151"/>
    <x v="3"/>
    <s v="Takeaway"/>
    <x v="1"/>
    <x v="0"/>
  </r>
  <r>
    <x v="722"/>
    <x v="263"/>
    <s v="Neha Gupta"/>
    <x v="3"/>
    <x v="15"/>
    <x v="3"/>
    <n v="5"/>
    <n v="220"/>
    <n v="110"/>
    <n v="12"/>
    <n v="1088"/>
    <n v="538"/>
    <x v="1"/>
    <s v="Delivery"/>
    <x v="0"/>
    <x v="0"/>
  </r>
  <r>
    <x v="723"/>
    <x v="288"/>
    <s v="Mohit Agarwal"/>
    <x v="5"/>
    <x v="15"/>
    <x v="3"/>
    <n v="1"/>
    <n v="220"/>
    <n v="110"/>
    <n v="5"/>
    <n v="215"/>
    <n v="105"/>
    <x v="4"/>
    <s v="Delivery"/>
    <x v="9"/>
    <x v="1"/>
  </r>
  <r>
    <x v="724"/>
    <x v="203"/>
    <s v="Kavya Iyer"/>
    <x v="1"/>
    <x v="4"/>
    <x v="4"/>
    <n v="2"/>
    <n v="160"/>
    <n v="80"/>
    <n v="21"/>
    <n v="299"/>
    <n v="139"/>
    <x v="0"/>
    <s v="Takeaway"/>
    <x v="5"/>
    <x v="1"/>
  </r>
  <r>
    <x v="725"/>
    <x v="100"/>
    <s v="Neha Gupta"/>
    <x v="4"/>
    <x v="11"/>
    <x v="3"/>
    <n v="1"/>
    <n v="200"/>
    <n v="100"/>
    <n v="29"/>
    <n v="171"/>
    <n v="71"/>
    <x v="3"/>
    <s v="Delivery"/>
    <x v="0"/>
    <x v="2"/>
  </r>
  <r>
    <x v="726"/>
    <x v="17"/>
    <s v="Simran Kaur"/>
    <x v="2"/>
    <x v="14"/>
    <x v="2"/>
    <n v="4"/>
    <n v="130"/>
    <n v="65"/>
    <n v="36"/>
    <n v="484"/>
    <n v="224"/>
    <x v="0"/>
    <s v="Delivery"/>
    <x v="6"/>
    <x v="0"/>
  </r>
  <r>
    <x v="727"/>
    <x v="182"/>
    <s v="Vikram Rao"/>
    <x v="6"/>
    <x v="3"/>
    <x v="3"/>
    <n v="3"/>
    <n v="180"/>
    <n v="90"/>
    <n v="32"/>
    <n v="508"/>
    <n v="238"/>
    <x v="4"/>
    <s v="Takeaway"/>
    <x v="8"/>
    <x v="0"/>
  </r>
  <r>
    <x v="728"/>
    <x v="28"/>
    <s v="Vivek Nair"/>
    <x v="9"/>
    <x v="12"/>
    <x v="4"/>
    <n v="4"/>
    <n v="170"/>
    <n v="85"/>
    <n v="49"/>
    <n v="631"/>
    <n v="291"/>
    <x v="1"/>
    <s v="Dine-In"/>
    <x v="9"/>
    <x v="1"/>
  </r>
  <r>
    <x v="729"/>
    <x v="235"/>
    <s v="Simran Kaur"/>
    <x v="5"/>
    <x v="7"/>
    <x v="3"/>
    <n v="2"/>
    <n v="150"/>
    <n v="75"/>
    <n v="50"/>
    <n v="250"/>
    <n v="100"/>
    <x v="4"/>
    <s v="Delivery"/>
    <x v="2"/>
    <x v="2"/>
  </r>
  <r>
    <x v="730"/>
    <x v="99"/>
    <s v="Nisha Sharma"/>
    <x v="2"/>
    <x v="18"/>
    <x v="6"/>
    <n v="5"/>
    <n v="170"/>
    <n v="85"/>
    <n v="36"/>
    <n v="814"/>
    <n v="389"/>
    <x v="0"/>
    <s v="Takeaway"/>
    <x v="3"/>
    <x v="2"/>
  </r>
  <r>
    <x v="731"/>
    <x v="289"/>
    <s v="Manish Yadav"/>
    <x v="1"/>
    <x v="8"/>
    <x v="5"/>
    <n v="1"/>
    <n v="210"/>
    <n v="105"/>
    <n v="0"/>
    <n v="210"/>
    <n v="105"/>
    <x v="0"/>
    <s v="Dine-In"/>
    <x v="6"/>
    <x v="1"/>
  </r>
  <r>
    <x v="732"/>
    <x v="290"/>
    <s v="Aditi Kapoor"/>
    <x v="1"/>
    <x v="9"/>
    <x v="1"/>
    <n v="2"/>
    <n v="120"/>
    <n v="60"/>
    <n v="42"/>
    <n v="198"/>
    <n v="78"/>
    <x v="3"/>
    <s v="Dine-In"/>
    <x v="5"/>
    <x v="1"/>
  </r>
  <r>
    <x v="733"/>
    <x v="24"/>
    <s v="Aarav Sharma"/>
    <x v="9"/>
    <x v="15"/>
    <x v="3"/>
    <n v="2"/>
    <n v="220"/>
    <n v="110"/>
    <n v="7"/>
    <n v="433"/>
    <n v="213"/>
    <x v="1"/>
    <s v="Delivery"/>
    <x v="7"/>
    <x v="0"/>
  </r>
  <r>
    <x v="734"/>
    <x v="113"/>
    <s v="Kavya Iyer"/>
    <x v="0"/>
    <x v="6"/>
    <x v="0"/>
    <n v="3"/>
    <n v="100"/>
    <n v="50"/>
    <n v="36"/>
    <n v="264"/>
    <n v="114"/>
    <x v="0"/>
    <s v="Delivery"/>
    <x v="6"/>
    <x v="2"/>
  </r>
  <r>
    <x v="735"/>
    <x v="242"/>
    <s v="Sneha Nair"/>
    <x v="3"/>
    <x v="4"/>
    <x v="4"/>
    <n v="3"/>
    <n v="160"/>
    <n v="80"/>
    <n v="18"/>
    <n v="462"/>
    <n v="222"/>
    <x v="3"/>
    <s v="Takeaway"/>
    <x v="6"/>
    <x v="2"/>
  </r>
  <r>
    <x v="736"/>
    <x v="20"/>
    <s v="Aman Mishra"/>
    <x v="6"/>
    <x v="6"/>
    <x v="0"/>
    <n v="3"/>
    <n v="100"/>
    <n v="50"/>
    <n v="27"/>
    <n v="273"/>
    <n v="123"/>
    <x v="1"/>
    <s v="Delivery"/>
    <x v="2"/>
    <x v="2"/>
  </r>
  <r>
    <x v="737"/>
    <x v="183"/>
    <s v="Aditya Kumar"/>
    <x v="9"/>
    <x v="0"/>
    <x v="0"/>
    <n v="3"/>
    <n v="240"/>
    <n v="120"/>
    <n v="47"/>
    <n v="673"/>
    <n v="313"/>
    <x v="3"/>
    <s v="Dine-In"/>
    <x v="9"/>
    <x v="0"/>
  </r>
  <r>
    <x v="738"/>
    <x v="256"/>
    <s v="Shruti Rao"/>
    <x v="4"/>
    <x v="3"/>
    <x v="3"/>
    <n v="2"/>
    <n v="180"/>
    <n v="90"/>
    <n v="22"/>
    <n v="338"/>
    <n v="158"/>
    <x v="4"/>
    <s v="Dine-In"/>
    <x v="0"/>
    <x v="0"/>
  </r>
  <r>
    <x v="739"/>
    <x v="192"/>
    <s v="Rohan Mehta"/>
    <x v="5"/>
    <x v="18"/>
    <x v="6"/>
    <n v="3"/>
    <n v="170"/>
    <n v="85"/>
    <n v="7"/>
    <n v="503"/>
    <n v="248"/>
    <x v="1"/>
    <s v="Delivery"/>
    <x v="6"/>
    <x v="1"/>
  </r>
  <r>
    <x v="740"/>
    <x v="92"/>
    <s v="Karan Joshi"/>
    <x v="1"/>
    <x v="3"/>
    <x v="3"/>
    <n v="2"/>
    <n v="180"/>
    <n v="90"/>
    <n v="1"/>
    <n v="359"/>
    <n v="179"/>
    <x v="2"/>
    <s v="Takeaway"/>
    <x v="3"/>
    <x v="1"/>
  </r>
  <r>
    <x v="741"/>
    <x v="86"/>
    <s v="Simran Kaur"/>
    <x v="6"/>
    <x v="6"/>
    <x v="0"/>
    <n v="5"/>
    <n v="100"/>
    <n v="50"/>
    <n v="13"/>
    <n v="487"/>
    <n v="237"/>
    <x v="2"/>
    <s v="Delivery"/>
    <x v="3"/>
    <x v="0"/>
  </r>
  <r>
    <x v="742"/>
    <x v="27"/>
    <s v="Manish Yadav"/>
    <x v="7"/>
    <x v="3"/>
    <x v="3"/>
    <n v="4"/>
    <n v="180"/>
    <n v="90"/>
    <n v="17"/>
    <n v="703"/>
    <n v="343"/>
    <x v="4"/>
    <s v="Dine-In"/>
    <x v="0"/>
    <x v="1"/>
  </r>
  <r>
    <x v="743"/>
    <x v="271"/>
    <s v="Simran Kaur"/>
    <x v="3"/>
    <x v="5"/>
    <x v="4"/>
    <n v="2"/>
    <n v="220"/>
    <n v="110"/>
    <n v="3"/>
    <n v="437"/>
    <n v="217"/>
    <x v="1"/>
    <s v="Takeaway"/>
    <x v="1"/>
    <x v="2"/>
  </r>
  <r>
    <x v="744"/>
    <x v="248"/>
    <s v="Aman Mishra"/>
    <x v="9"/>
    <x v="7"/>
    <x v="3"/>
    <n v="5"/>
    <n v="150"/>
    <n v="75"/>
    <n v="33"/>
    <n v="717"/>
    <n v="342"/>
    <x v="4"/>
    <s v="Takeaway"/>
    <x v="1"/>
    <x v="1"/>
  </r>
  <r>
    <x v="745"/>
    <x v="229"/>
    <s v="Simran Kaur"/>
    <x v="2"/>
    <x v="5"/>
    <x v="4"/>
    <n v="2"/>
    <n v="220"/>
    <n v="110"/>
    <n v="31"/>
    <n v="409"/>
    <n v="189"/>
    <x v="1"/>
    <s v="Dine-In"/>
    <x v="6"/>
    <x v="0"/>
  </r>
  <r>
    <x v="746"/>
    <x v="156"/>
    <s v="Mohit Agarwal"/>
    <x v="7"/>
    <x v="2"/>
    <x v="2"/>
    <n v="5"/>
    <n v="110"/>
    <n v="55"/>
    <n v="38"/>
    <n v="512"/>
    <n v="237"/>
    <x v="1"/>
    <s v="Dine-In"/>
    <x v="1"/>
    <x v="0"/>
  </r>
  <r>
    <x v="747"/>
    <x v="228"/>
    <s v="Akash Naik"/>
    <x v="4"/>
    <x v="15"/>
    <x v="3"/>
    <n v="2"/>
    <n v="220"/>
    <n v="110"/>
    <n v="31"/>
    <n v="409"/>
    <n v="189"/>
    <x v="3"/>
    <s v="Delivery"/>
    <x v="3"/>
    <x v="2"/>
  </r>
  <r>
    <x v="748"/>
    <x v="255"/>
    <s v="Aditya Kumar"/>
    <x v="2"/>
    <x v="5"/>
    <x v="4"/>
    <n v="4"/>
    <n v="220"/>
    <n v="110"/>
    <n v="30"/>
    <n v="850"/>
    <n v="410"/>
    <x v="0"/>
    <s v="Dine-In"/>
    <x v="1"/>
    <x v="0"/>
  </r>
  <r>
    <x v="749"/>
    <x v="64"/>
    <s v="Aditi Kapoor"/>
    <x v="7"/>
    <x v="5"/>
    <x v="4"/>
    <n v="3"/>
    <n v="220"/>
    <n v="110"/>
    <n v="47"/>
    <n v="613"/>
    <n v="283"/>
    <x v="2"/>
    <s v="Dine-In"/>
    <x v="8"/>
    <x v="0"/>
  </r>
  <r>
    <x v="750"/>
    <x v="165"/>
    <s v="Priya Patel"/>
    <x v="6"/>
    <x v="15"/>
    <x v="3"/>
    <n v="3"/>
    <n v="220"/>
    <n v="110"/>
    <n v="31"/>
    <n v="629"/>
    <n v="299"/>
    <x v="3"/>
    <s v="Dine-In"/>
    <x v="6"/>
    <x v="0"/>
  </r>
  <r>
    <x v="751"/>
    <x v="201"/>
    <s v="Arjun Reddy"/>
    <x v="0"/>
    <x v="6"/>
    <x v="0"/>
    <n v="1"/>
    <n v="100"/>
    <n v="50"/>
    <n v="8"/>
    <n v="92"/>
    <n v="42"/>
    <x v="3"/>
    <s v="Dine-In"/>
    <x v="7"/>
    <x v="0"/>
  </r>
  <r>
    <x v="752"/>
    <x v="186"/>
    <s v="Karan Joshi"/>
    <x v="6"/>
    <x v="7"/>
    <x v="3"/>
    <n v="3"/>
    <n v="150"/>
    <n v="75"/>
    <n v="15"/>
    <n v="435"/>
    <n v="210"/>
    <x v="3"/>
    <s v="Takeaway"/>
    <x v="2"/>
    <x v="2"/>
  </r>
  <r>
    <x v="753"/>
    <x v="20"/>
    <s v="Arjun Reddy"/>
    <x v="5"/>
    <x v="16"/>
    <x v="3"/>
    <n v="2"/>
    <n v="120"/>
    <n v="60"/>
    <n v="49"/>
    <n v="191"/>
    <n v="71"/>
    <x v="4"/>
    <s v="Takeaway"/>
    <x v="6"/>
    <x v="1"/>
  </r>
  <r>
    <x v="754"/>
    <x v="156"/>
    <s v="Nisha Sharma"/>
    <x v="0"/>
    <x v="14"/>
    <x v="2"/>
    <n v="5"/>
    <n v="130"/>
    <n v="65"/>
    <n v="6"/>
    <n v="644"/>
    <n v="319"/>
    <x v="0"/>
    <s v="Delivery"/>
    <x v="7"/>
    <x v="0"/>
  </r>
  <r>
    <x v="755"/>
    <x v="54"/>
    <s v="Sneha Nair"/>
    <x v="7"/>
    <x v="8"/>
    <x v="5"/>
    <n v="3"/>
    <n v="210"/>
    <n v="105"/>
    <n v="44"/>
    <n v="586"/>
    <n v="271"/>
    <x v="1"/>
    <s v="Takeaway"/>
    <x v="9"/>
    <x v="0"/>
  </r>
  <r>
    <x v="756"/>
    <x v="236"/>
    <s v="Vivek Nair"/>
    <x v="8"/>
    <x v="5"/>
    <x v="4"/>
    <n v="4"/>
    <n v="220"/>
    <n v="110"/>
    <n v="40"/>
    <n v="840"/>
    <n v="400"/>
    <x v="0"/>
    <s v="Delivery"/>
    <x v="0"/>
    <x v="1"/>
  </r>
  <r>
    <x v="757"/>
    <x v="165"/>
    <s v="Aarav Sharma"/>
    <x v="7"/>
    <x v="3"/>
    <x v="3"/>
    <n v="5"/>
    <n v="180"/>
    <n v="90"/>
    <n v="17"/>
    <n v="883"/>
    <n v="433"/>
    <x v="2"/>
    <s v="Takeaway"/>
    <x v="2"/>
    <x v="0"/>
  </r>
  <r>
    <x v="758"/>
    <x v="82"/>
    <s v="Tanvi Bhat"/>
    <x v="0"/>
    <x v="5"/>
    <x v="4"/>
    <n v="4"/>
    <n v="220"/>
    <n v="110"/>
    <n v="10"/>
    <n v="870"/>
    <n v="430"/>
    <x v="0"/>
    <s v="Delivery"/>
    <x v="1"/>
    <x v="2"/>
  </r>
  <r>
    <x v="759"/>
    <x v="119"/>
    <s v="Manish Yadav"/>
    <x v="6"/>
    <x v="2"/>
    <x v="2"/>
    <n v="2"/>
    <n v="110"/>
    <n v="55"/>
    <n v="19"/>
    <n v="201"/>
    <n v="91"/>
    <x v="4"/>
    <s v="Dine-In"/>
    <x v="7"/>
    <x v="0"/>
  </r>
  <r>
    <x v="760"/>
    <x v="188"/>
    <s v="Meera Desai"/>
    <x v="0"/>
    <x v="10"/>
    <x v="5"/>
    <n v="2"/>
    <n v="190"/>
    <n v="95"/>
    <n v="15"/>
    <n v="365"/>
    <n v="175"/>
    <x v="2"/>
    <s v="Dine-In"/>
    <x v="3"/>
    <x v="1"/>
  </r>
  <r>
    <x v="761"/>
    <x v="114"/>
    <s v="Siddharth Jain"/>
    <x v="8"/>
    <x v="13"/>
    <x v="2"/>
    <n v="2"/>
    <n v="150"/>
    <n v="75"/>
    <n v="16"/>
    <n v="284"/>
    <n v="134"/>
    <x v="3"/>
    <s v="Delivery"/>
    <x v="6"/>
    <x v="2"/>
  </r>
  <r>
    <x v="762"/>
    <x v="223"/>
    <s v="Arjun Reddy"/>
    <x v="4"/>
    <x v="10"/>
    <x v="5"/>
    <n v="3"/>
    <n v="190"/>
    <n v="95"/>
    <n v="17"/>
    <n v="553"/>
    <n v="268"/>
    <x v="4"/>
    <s v="Dine-In"/>
    <x v="0"/>
    <x v="0"/>
  </r>
  <r>
    <x v="763"/>
    <x v="267"/>
    <s v="Siddharth Jain"/>
    <x v="4"/>
    <x v="10"/>
    <x v="5"/>
    <n v="4"/>
    <n v="190"/>
    <n v="95"/>
    <n v="24"/>
    <n v="736"/>
    <n v="356"/>
    <x v="1"/>
    <s v="Delivery"/>
    <x v="8"/>
    <x v="1"/>
  </r>
  <r>
    <x v="764"/>
    <x v="281"/>
    <s v="Nisha Sharma"/>
    <x v="4"/>
    <x v="7"/>
    <x v="3"/>
    <n v="4"/>
    <n v="150"/>
    <n v="75"/>
    <n v="0"/>
    <n v="600"/>
    <n v="300"/>
    <x v="4"/>
    <s v="Delivery"/>
    <x v="5"/>
    <x v="0"/>
  </r>
  <r>
    <x v="765"/>
    <x v="21"/>
    <s v="Rahul Verma"/>
    <x v="1"/>
    <x v="16"/>
    <x v="3"/>
    <n v="1"/>
    <n v="120"/>
    <n v="60"/>
    <n v="2"/>
    <n v="118"/>
    <n v="58"/>
    <x v="2"/>
    <s v="Dine-In"/>
    <x v="6"/>
    <x v="2"/>
  </r>
  <r>
    <x v="766"/>
    <x v="91"/>
    <s v="Priya Patel"/>
    <x v="0"/>
    <x v="2"/>
    <x v="2"/>
    <n v="5"/>
    <n v="110"/>
    <n v="55"/>
    <n v="4"/>
    <n v="546"/>
    <n v="271"/>
    <x v="2"/>
    <s v="Takeaway"/>
    <x v="9"/>
    <x v="0"/>
  </r>
  <r>
    <x v="767"/>
    <x v="0"/>
    <s v="Divya Shetty"/>
    <x v="3"/>
    <x v="1"/>
    <x v="1"/>
    <n v="2"/>
    <n v="140"/>
    <n v="70"/>
    <n v="0"/>
    <n v="280"/>
    <n v="140"/>
    <x v="2"/>
    <s v="Dine-In"/>
    <x v="1"/>
    <x v="1"/>
  </r>
  <r>
    <x v="768"/>
    <x v="171"/>
    <s v="Tanvi Bhat"/>
    <x v="8"/>
    <x v="9"/>
    <x v="1"/>
    <n v="4"/>
    <n v="120"/>
    <n v="60"/>
    <n v="15"/>
    <n v="465"/>
    <n v="225"/>
    <x v="3"/>
    <s v="Delivery"/>
    <x v="5"/>
    <x v="1"/>
  </r>
  <r>
    <x v="769"/>
    <x v="60"/>
    <s v="Simran Kaur"/>
    <x v="9"/>
    <x v="1"/>
    <x v="1"/>
    <n v="5"/>
    <n v="140"/>
    <n v="70"/>
    <n v="42"/>
    <n v="658"/>
    <n v="308"/>
    <x v="3"/>
    <s v="Delivery"/>
    <x v="9"/>
    <x v="1"/>
  </r>
  <r>
    <x v="770"/>
    <x v="176"/>
    <s v="Aditi Kapoor"/>
    <x v="9"/>
    <x v="13"/>
    <x v="2"/>
    <n v="5"/>
    <n v="150"/>
    <n v="75"/>
    <n v="17"/>
    <n v="733"/>
    <n v="358"/>
    <x v="1"/>
    <s v="Delivery"/>
    <x v="8"/>
    <x v="2"/>
  </r>
  <r>
    <x v="771"/>
    <x v="291"/>
    <s v="Priya Patel"/>
    <x v="5"/>
    <x v="17"/>
    <x v="4"/>
    <n v="1"/>
    <n v="180"/>
    <n v="90"/>
    <n v="11"/>
    <n v="169"/>
    <n v="79"/>
    <x v="1"/>
    <s v="Dine-In"/>
    <x v="8"/>
    <x v="1"/>
  </r>
  <r>
    <x v="772"/>
    <x v="292"/>
    <s v="Harsh Vyas"/>
    <x v="1"/>
    <x v="18"/>
    <x v="6"/>
    <n v="2"/>
    <n v="170"/>
    <n v="85"/>
    <n v="8"/>
    <n v="332"/>
    <n v="162"/>
    <x v="3"/>
    <s v="Dine-In"/>
    <x v="8"/>
    <x v="2"/>
  </r>
  <r>
    <x v="773"/>
    <x v="75"/>
    <s v="Kavya Iyer"/>
    <x v="0"/>
    <x v="11"/>
    <x v="3"/>
    <n v="1"/>
    <n v="200"/>
    <n v="100"/>
    <n v="19"/>
    <n v="181"/>
    <n v="81"/>
    <x v="1"/>
    <s v="Dine-In"/>
    <x v="3"/>
    <x v="1"/>
  </r>
  <r>
    <x v="774"/>
    <x v="176"/>
    <s v="Divya Shetty"/>
    <x v="3"/>
    <x v="10"/>
    <x v="5"/>
    <n v="2"/>
    <n v="190"/>
    <n v="95"/>
    <n v="6"/>
    <n v="374"/>
    <n v="184"/>
    <x v="2"/>
    <s v="Takeaway"/>
    <x v="1"/>
    <x v="0"/>
  </r>
  <r>
    <x v="775"/>
    <x v="164"/>
    <s v="Vivek Nair"/>
    <x v="6"/>
    <x v="16"/>
    <x v="3"/>
    <n v="5"/>
    <n v="120"/>
    <n v="60"/>
    <n v="43"/>
    <n v="557"/>
    <n v="257"/>
    <x v="3"/>
    <s v="Dine-In"/>
    <x v="6"/>
    <x v="2"/>
  </r>
  <r>
    <x v="776"/>
    <x v="162"/>
    <s v="Nisha Sharma"/>
    <x v="3"/>
    <x v="18"/>
    <x v="6"/>
    <n v="4"/>
    <n v="170"/>
    <n v="85"/>
    <n v="40"/>
    <n v="640"/>
    <n v="300"/>
    <x v="2"/>
    <s v="Takeaway"/>
    <x v="9"/>
    <x v="1"/>
  </r>
  <r>
    <x v="777"/>
    <x v="203"/>
    <s v="Priya Patel"/>
    <x v="2"/>
    <x v="2"/>
    <x v="2"/>
    <n v="1"/>
    <n v="110"/>
    <n v="55"/>
    <n v="34"/>
    <n v="76"/>
    <n v="21"/>
    <x v="2"/>
    <s v="Takeaway"/>
    <x v="8"/>
    <x v="1"/>
  </r>
  <r>
    <x v="778"/>
    <x v="282"/>
    <s v="Meera Desai"/>
    <x v="5"/>
    <x v="14"/>
    <x v="2"/>
    <n v="4"/>
    <n v="130"/>
    <n v="65"/>
    <n v="24"/>
    <n v="496"/>
    <n v="236"/>
    <x v="2"/>
    <s v="Dine-In"/>
    <x v="1"/>
    <x v="1"/>
  </r>
  <r>
    <x v="779"/>
    <x v="30"/>
    <s v="Vivek Nair"/>
    <x v="6"/>
    <x v="9"/>
    <x v="1"/>
    <n v="5"/>
    <n v="120"/>
    <n v="60"/>
    <n v="19"/>
    <n v="581"/>
    <n v="281"/>
    <x v="0"/>
    <s v="Takeaway"/>
    <x v="9"/>
    <x v="1"/>
  </r>
  <r>
    <x v="780"/>
    <x v="113"/>
    <s v="Ritika Das"/>
    <x v="6"/>
    <x v="15"/>
    <x v="3"/>
    <n v="3"/>
    <n v="220"/>
    <n v="110"/>
    <n v="33"/>
    <n v="627"/>
    <n v="297"/>
    <x v="0"/>
    <s v="Delivery"/>
    <x v="5"/>
    <x v="1"/>
  </r>
  <r>
    <x v="781"/>
    <x v="129"/>
    <s v="Kavya Iyer"/>
    <x v="3"/>
    <x v="15"/>
    <x v="3"/>
    <n v="1"/>
    <n v="220"/>
    <n v="110"/>
    <n v="44"/>
    <n v="176"/>
    <n v="66"/>
    <x v="2"/>
    <s v="Takeaway"/>
    <x v="3"/>
    <x v="0"/>
  </r>
  <r>
    <x v="782"/>
    <x v="2"/>
    <s v="Aditya Kumar"/>
    <x v="5"/>
    <x v="0"/>
    <x v="0"/>
    <n v="1"/>
    <n v="240"/>
    <n v="120"/>
    <n v="20"/>
    <n v="220"/>
    <n v="100"/>
    <x v="1"/>
    <s v="Takeaway"/>
    <x v="5"/>
    <x v="2"/>
  </r>
  <r>
    <x v="783"/>
    <x v="110"/>
    <s v="Harsh Vyas"/>
    <x v="8"/>
    <x v="4"/>
    <x v="4"/>
    <n v="1"/>
    <n v="160"/>
    <n v="80"/>
    <n v="37"/>
    <n v="123"/>
    <n v="43"/>
    <x v="1"/>
    <s v="Delivery"/>
    <x v="9"/>
    <x v="1"/>
  </r>
  <r>
    <x v="784"/>
    <x v="102"/>
    <s v="Yash Patil"/>
    <x v="6"/>
    <x v="0"/>
    <x v="0"/>
    <n v="4"/>
    <n v="240"/>
    <n v="120"/>
    <n v="11"/>
    <n v="949"/>
    <n v="469"/>
    <x v="4"/>
    <s v="Dine-In"/>
    <x v="3"/>
    <x v="0"/>
  </r>
  <r>
    <x v="785"/>
    <x v="26"/>
    <s v="Ananya Singh"/>
    <x v="4"/>
    <x v="3"/>
    <x v="3"/>
    <n v="4"/>
    <n v="180"/>
    <n v="90"/>
    <n v="13"/>
    <n v="707"/>
    <n v="347"/>
    <x v="0"/>
    <s v="Delivery"/>
    <x v="7"/>
    <x v="2"/>
  </r>
  <r>
    <x v="786"/>
    <x v="20"/>
    <s v="Rohan Mehta"/>
    <x v="2"/>
    <x v="5"/>
    <x v="4"/>
    <n v="3"/>
    <n v="220"/>
    <n v="110"/>
    <n v="32"/>
    <n v="628"/>
    <n v="298"/>
    <x v="1"/>
    <s v="Dine-In"/>
    <x v="7"/>
    <x v="1"/>
  </r>
  <r>
    <x v="787"/>
    <x v="254"/>
    <s v="Rohan Mehta"/>
    <x v="4"/>
    <x v="7"/>
    <x v="3"/>
    <n v="1"/>
    <n v="150"/>
    <n v="75"/>
    <n v="1"/>
    <n v="149"/>
    <n v="74"/>
    <x v="0"/>
    <s v="Takeaway"/>
    <x v="5"/>
    <x v="2"/>
  </r>
  <r>
    <x v="788"/>
    <x v="226"/>
    <s v="Mohit Agarwal"/>
    <x v="3"/>
    <x v="19"/>
    <x v="0"/>
    <n v="4"/>
    <n v="80"/>
    <n v="40"/>
    <n v="19"/>
    <n v="301"/>
    <n v="141"/>
    <x v="1"/>
    <s v="Dine-In"/>
    <x v="0"/>
    <x v="1"/>
  </r>
  <r>
    <x v="789"/>
    <x v="171"/>
    <s v="Aditya Kumar"/>
    <x v="5"/>
    <x v="10"/>
    <x v="5"/>
    <n v="1"/>
    <n v="190"/>
    <n v="95"/>
    <n v="0"/>
    <n v="190"/>
    <n v="95"/>
    <x v="1"/>
    <s v="Takeaway"/>
    <x v="0"/>
    <x v="0"/>
  </r>
  <r>
    <x v="790"/>
    <x v="83"/>
    <s v="Simran Kaur"/>
    <x v="6"/>
    <x v="2"/>
    <x v="2"/>
    <n v="2"/>
    <n v="110"/>
    <n v="55"/>
    <n v="4"/>
    <n v="216"/>
    <n v="106"/>
    <x v="1"/>
    <s v="Dine-In"/>
    <x v="5"/>
    <x v="0"/>
  </r>
  <r>
    <x v="791"/>
    <x v="234"/>
    <s v="Ishita Roy"/>
    <x v="1"/>
    <x v="1"/>
    <x v="1"/>
    <n v="3"/>
    <n v="140"/>
    <n v="70"/>
    <n v="8"/>
    <n v="412"/>
    <n v="202"/>
    <x v="2"/>
    <s v="Delivery"/>
    <x v="4"/>
    <x v="1"/>
  </r>
  <r>
    <x v="792"/>
    <x v="102"/>
    <s v="Ritika Das"/>
    <x v="7"/>
    <x v="16"/>
    <x v="3"/>
    <n v="4"/>
    <n v="120"/>
    <n v="60"/>
    <n v="43"/>
    <n v="437"/>
    <n v="197"/>
    <x v="1"/>
    <s v="Dine-In"/>
    <x v="2"/>
    <x v="1"/>
  </r>
  <r>
    <x v="793"/>
    <x v="222"/>
    <s v="Sneha Nair"/>
    <x v="6"/>
    <x v="18"/>
    <x v="6"/>
    <n v="2"/>
    <n v="170"/>
    <n v="85"/>
    <n v="2"/>
    <n v="338"/>
    <n v="168"/>
    <x v="2"/>
    <s v="Takeaway"/>
    <x v="4"/>
    <x v="2"/>
  </r>
  <r>
    <x v="794"/>
    <x v="293"/>
    <s v="Aditya Kumar"/>
    <x v="2"/>
    <x v="5"/>
    <x v="4"/>
    <n v="1"/>
    <n v="220"/>
    <n v="110"/>
    <n v="23"/>
    <n v="197"/>
    <n v="87"/>
    <x v="4"/>
    <s v="Takeaway"/>
    <x v="9"/>
    <x v="2"/>
  </r>
  <r>
    <x v="795"/>
    <x v="45"/>
    <s v="Shruti Rao"/>
    <x v="3"/>
    <x v="13"/>
    <x v="2"/>
    <n v="3"/>
    <n v="150"/>
    <n v="75"/>
    <n v="40"/>
    <n v="410"/>
    <n v="185"/>
    <x v="3"/>
    <s v="Dine-In"/>
    <x v="3"/>
    <x v="2"/>
  </r>
  <r>
    <x v="796"/>
    <x v="185"/>
    <s v="Ritika Das"/>
    <x v="0"/>
    <x v="1"/>
    <x v="1"/>
    <n v="3"/>
    <n v="140"/>
    <n v="70"/>
    <n v="15"/>
    <n v="405"/>
    <n v="195"/>
    <x v="0"/>
    <s v="Dine-In"/>
    <x v="6"/>
    <x v="0"/>
  </r>
  <r>
    <x v="797"/>
    <x v="127"/>
    <s v="Vivek Nair"/>
    <x v="2"/>
    <x v="7"/>
    <x v="3"/>
    <n v="5"/>
    <n v="150"/>
    <n v="75"/>
    <n v="3"/>
    <n v="747"/>
    <n v="372"/>
    <x v="1"/>
    <s v="Takeaway"/>
    <x v="4"/>
    <x v="2"/>
  </r>
  <r>
    <x v="798"/>
    <x v="147"/>
    <s v="Mohit Agarwal"/>
    <x v="2"/>
    <x v="18"/>
    <x v="6"/>
    <n v="2"/>
    <n v="170"/>
    <n v="85"/>
    <n v="32"/>
    <n v="308"/>
    <n v="138"/>
    <x v="3"/>
    <s v="Takeaway"/>
    <x v="9"/>
    <x v="2"/>
  </r>
  <r>
    <x v="799"/>
    <x v="39"/>
    <s v="Siddharth Jain"/>
    <x v="4"/>
    <x v="4"/>
    <x v="4"/>
    <n v="1"/>
    <n v="160"/>
    <n v="80"/>
    <n v="14"/>
    <n v="146"/>
    <n v="66"/>
    <x v="2"/>
    <s v="Delivery"/>
    <x v="4"/>
    <x v="2"/>
  </r>
  <r>
    <x v="800"/>
    <x v="24"/>
    <s v="Harsh Vyas"/>
    <x v="9"/>
    <x v="15"/>
    <x v="3"/>
    <n v="5"/>
    <n v="220"/>
    <n v="110"/>
    <n v="3"/>
    <n v="1097"/>
    <n v="547"/>
    <x v="4"/>
    <s v="Takeaway"/>
    <x v="3"/>
    <x v="2"/>
  </r>
  <r>
    <x v="801"/>
    <x v="209"/>
    <s v="Kavya Iyer"/>
    <x v="8"/>
    <x v="19"/>
    <x v="0"/>
    <n v="1"/>
    <n v="80"/>
    <n v="40"/>
    <n v="5"/>
    <n v="75"/>
    <n v="35"/>
    <x v="2"/>
    <s v="Takeaway"/>
    <x v="3"/>
    <x v="1"/>
  </r>
  <r>
    <x v="802"/>
    <x v="118"/>
    <s v="Vikram Rao"/>
    <x v="0"/>
    <x v="5"/>
    <x v="4"/>
    <n v="5"/>
    <n v="220"/>
    <n v="110"/>
    <n v="23"/>
    <n v="1077"/>
    <n v="527"/>
    <x v="1"/>
    <s v="Delivery"/>
    <x v="5"/>
    <x v="2"/>
  </r>
  <r>
    <x v="803"/>
    <x v="79"/>
    <s v="Ritika Das"/>
    <x v="0"/>
    <x v="5"/>
    <x v="4"/>
    <n v="3"/>
    <n v="220"/>
    <n v="110"/>
    <n v="14"/>
    <n v="646"/>
    <n v="316"/>
    <x v="4"/>
    <s v="Delivery"/>
    <x v="6"/>
    <x v="0"/>
  </r>
  <r>
    <x v="804"/>
    <x v="150"/>
    <s v="Aman Mishra"/>
    <x v="5"/>
    <x v="7"/>
    <x v="3"/>
    <n v="3"/>
    <n v="150"/>
    <n v="75"/>
    <n v="25"/>
    <n v="425"/>
    <n v="200"/>
    <x v="0"/>
    <s v="Delivery"/>
    <x v="4"/>
    <x v="2"/>
  </r>
  <r>
    <x v="805"/>
    <x v="49"/>
    <s v="Harsh Vyas"/>
    <x v="3"/>
    <x v="4"/>
    <x v="4"/>
    <n v="5"/>
    <n v="160"/>
    <n v="80"/>
    <n v="4"/>
    <n v="796"/>
    <n v="396"/>
    <x v="0"/>
    <s v="Dine-In"/>
    <x v="5"/>
    <x v="2"/>
  </r>
  <r>
    <x v="806"/>
    <x v="102"/>
    <s v="Priya Patel"/>
    <x v="0"/>
    <x v="7"/>
    <x v="3"/>
    <n v="2"/>
    <n v="150"/>
    <n v="75"/>
    <n v="35"/>
    <n v="265"/>
    <n v="115"/>
    <x v="4"/>
    <s v="Dine-In"/>
    <x v="8"/>
    <x v="0"/>
  </r>
  <r>
    <x v="807"/>
    <x v="198"/>
    <s v="Divya Shetty"/>
    <x v="2"/>
    <x v="19"/>
    <x v="0"/>
    <n v="5"/>
    <n v="80"/>
    <n v="40"/>
    <n v="47"/>
    <n v="353"/>
    <n v="153"/>
    <x v="0"/>
    <s v="Delivery"/>
    <x v="9"/>
    <x v="0"/>
  </r>
  <r>
    <x v="808"/>
    <x v="294"/>
    <s v="Aman Mishra"/>
    <x v="5"/>
    <x v="17"/>
    <x v="4"/>
    <n v="1"/>
    <n v="180"/>
    <n v="90"/>
    <n v="14"/>
    <n v="166"/>
    <n v="76"/>
    <x v="3"/>
    <s v="Takeaway"/>
    <x v="1"/>
    <x v="2"/>
  </r>
  <r>
    <x v="809"/>
    <x v="20"/>
    <s v="Ishita Roy"/>
    <x v="7"/>
    <x v="16"/>
    <x v="3"/>
    <n v="4"/>
    <n v="120"/>
    <n v="60"/>
    <n v="3"/>
    <n v="477"/>
    <n v="237"/>
    <x v="0"/>
    <s v="Takeaway"/>
    <x v="0"/>
    <x v="0"/>
  </r>
  <r>
    <x v="810"/>
    <x v="165"/>
    <s v="Aditya Kumar"/>
    <x v="3"/>
    <x v="13"/>
    <x v="2"/>
    <n v="3"/>
    <n v="150"/>
    <n v="75"/>
    <n v="35"/>
    <n v="415"/>
    <n v="190"/>
    <x v="0"/>
    <s v="Dine-In"/>
    <x v="5"/>
    <x v="1"/>
  </r>
  <r>
    <x v="811"/>
    <x v="204"/>
    <s v="Sneha Nair"/>
    <x v="0"/>
    <x v="17"/>
    <x v="4"/>
    <n v="3"/>
    <n v="180"/>
    <n v="90"/>
    <n v="39"/>
    <n v="501"/>
    <n v="231"/>
    <x v="3"/>
    <s v="Delivery"/>
    <x v="9"/>
    <x v="0"/>
  </r>
  <r>
    <x v="812"/>
    <x v="103"/>
    <s v="Priya Patel"/>
    <x v="9"/>
    <x v="18"/>
    <x v="6"/>
    <n v="2"/>
    <n v="170"/>
    <n v="85"/>
    <n v="44"/>
    <n v="296"/>
    <n v="126"/>
    <x v="1"/>
    <s v="Dine-In"/>
    <x v="4"/>
    <x v="1"/>
  </r>
  <r>
    <x v="813"/>
    <x v="36"/>
    <s v="Sneha Nair"/>
    <x v="4"/>
    <x v="0"/>
    <x v="0"/>
    <n v="3"/>
    <n v="240"/>
    <n v="120"/>
    <n v="34"/>
    <n v="686"/>
    <n v="326"/>
    <x v="4"/>
    <s v="Takeaway"/>
    <x v="2"/>
    <x v="2"/>
  </r>
  <r>
    <x v="814"/>
    <x v="141"/>
    <s v="Harsh Vyas"/>
    <x v="0"/>
    <x v="7"/>
    <x v="3"/>
    <n v="3"/>
    <n v="150"/>
    <n v="75"/>
    <n v="40"/>
    <n v="410"/>
    <n v="185"/>
    <x v="2"/>
    <s v="Takeaway"/>
    <x v="6"/>
    <x v="2"/>
  </r>
  <r>
    <x v="815"/>
    <x v="295"/>
    <s v="Rahul Verma"/>
    <x v="9"/>
    <x v="18"/>
    <x v="6"/>
    <n v="1"/>
    <n v="170"/>
    <n v="85"/>
    <n v="5"/>
    <n v="165"/>
    <n v="80"/>
    <x v="1"/>
    <s v="Dine-In"/>
    <x v="3"/>
    <x v="1"/>
  </r>
  <r>
    <x v="816"/>
    <x v="287"/>
    <s v="Tanvi Bhat"/>
    <x v="9"/>
    <x v="6"/>
    <x v="0"/>
    <n v="3"/>
    <n v="100"/>
    <n v="50"/>
    <n v="17"/>
    <n v="283"/>
    <n v="133"/>
    <x v="0"/>
    <s v="Takeaway"/>
    <x v="7"/>
    <x v="2"/>
  </r>
  <r>
    <x v="817"/>
    <x v="174"/>
    <s v="Ritika Das"/>
    <x v="6"/>
    <x v="0"/>
    <x v="0"/>
    <n v="4"/>
    <n v="240"/>
    <n v="120"/>
    <n v="25"/>
    <n v="935"/>
    <n v="455"/>
    <x v="3"/>
    <s v="Dine-In"/>
    <x v="9"/>
    <x v="0"/>
  </r>
  <r>
    <x v="818"/>
    <x v="30"/>
    <s v="Vikram Rao"/>
    <x v="9"/>
    <x v="14"/>
    <x v="2"/>
    <n v="3"/>
    <n v="130"/>
    <n v="65"/>
    <n v="38"/>
    <n v="352"/>
    <n v="157"/>
    <x v="3"/>
    <s v="Dine-In"/>
    <x v="4"/>
    <x v="0"/>
  </r>
  <r>
    <x v="819"/>
    <x v="150"/>
    <s v="Meera Desai"/>
    <x v="7"/>
    <x v="19"/>
    <x v="0"/>
    <n v="1"/>
    <n v="80"/>
    <n v="40"/>
    <n v="25"/>
    <n v="55"/>
    <n v="15"/>
    <x v="2"/>
    <s v="Delivery"/>
    <x v="8"/>
    <x v="1"/>
  </r>
  <r>
    <x v="820"/>
    <x v="274"/>
    <s v="Siddharth Jain"/>
    <x v="8"/>
    <x v="2"/>
    <x v="2"/>
    <n v="5"/>
    <n v="110"/>
    <n v="55"/>
    <n v="44"/>
    <n v="506"/>
    <n v="231"/>
    <x v="4"/>
    <s v="Takeaway"/>
    <x v="1"/>
    <x v="1"/>
  </r>
  <r>
    <x v="821"/>
    <x v="168"/>
    <s v="Meera Desai"/>
    <x v="5"/>
    <x v="16"/>
    <x v="3"/>
    <n v="3"/>
    <n v="120"/>
    <n v="60"/>
    <n v="30"/>
    <n v="330"/>
    <n v="150"/>
    <x v="1"/>
    <s v="Delivery"/>
    <x v="6"/>
    <x v="2"/>
  </r>
  <r>
    <x v="822"/>
    <x v="27"/>
    <s v="Ritika Das"/>
    <x v="4"/>
    <x v="2"/>
    <x v="2"/>
    <n v="4"/>
    <n v="110"/>
    <n v="55"/>
    <n v="4"/>
    <n v="436"/>
    <n v="216"/>
    <x v="1"/>
    <s v="Takeaway"/>
    <x v="4"/>
    <x v="1"/>
  </r>
  <r>
    <x v="823"/>
    <x v="238"/>
    <s v="Aman Mishra"/>
    <x v="3"/>
    <x v="1"/>
    <x v="1"/>
    <n v="2"/>
    <n v="140"/>
    <n v="70"/>
    <n v="38"/>
    <n v="242"/>
    <n v="102"/>
    <x v="4"/>
    <s v="Dine-In"/>
    <x v="0"/>
    <x v="1"/>
  </r>
  <r>
    <x v="824"/>
    <x v="76"/>
    <s v="Siddharth Jain"/>
    <x v="0"/>
    <x v="9"/>
    <x v="1"/>
    <n v="5"/>
    <n v="120"/>
    <n v="60"/>
    <n v="36"/>
    <n v="564"/>
    <n v="264"/>
    <x v="3"/>
    <s v="Dine-In"/>
    <x v="4"/>
    <x v="1"/>
  </r>
  <r>
    <x v="825"/>
    <x v="222"/>
    <s v="Aman Mishra"/>
    <x v="4"/>
    <x v="12"/>
    <x v="4"/>
    <n v="4"/>
    <n v="170"/>
    <n v="85"/>
    <n v="17"/>
    <n v="663"/>
    <n v="323"/>
    <x v="2"/>
    <s v="Takeaway"/>
    <x v="1"/>
    <x v="0"/>
  </r>
  <r>
    <x v="826"/>
    <x v="279"/>
    <s v="Pooja Kulkarni"/>
    <x v="5"/>
    <x v="8"/>
    <x v="5"/>
    <n v="2"/>
    <n v="210"/>
    <n v="105"/>
    <n v="44"/>
    <n v="376"/>
    <n v="166"/>
    <x v="0"/>
    <s v="Dine-In"/>
    <x v="3"/>
    <x v="1"/>
  </r>
  <r>
    <x v="827"/>
    <x v="277"/>
    <s v="Sneha Nair"/>
    <x v="9"/>
    <x v="17"/>
    <x v="4"/>
    <n v="2"/>
    <n v="180"/>
    <n v="90"/>
    <n v="26"/>
    <n v="334"/>
    <n v="154"/>
    <x v="4"/>
    <s v="Delivery"/>
    <x v="2"/>
    <x v="0"/>
  </r>
  <r>
    <x v="828"/>
    <x v="274"/>
    <s v="Rahul Verma"/>
    <x v="0"/>
    <x v="14"/>
    <x v="2"/>
    <n v="2"/>
    <n v="130"/>
    <n v="65"/>
    <n v="17"/>
    <n v="243"/>
    <n v="113"/>
    <x v="3"/>
    <s v="Takeaway"/>
    <x v="2"/>
    <x v="1"/>
  </r>
  <r>
    <x v="829"/>
    <x v="225"/>
    <s v="Aarav Sharma"/>
    <x v="7"/>
    <x v="1"/>
    <x v="1"/>
    <n v="5"/>
    <n v="140"/>
    <n v="70"/>
    <n v="17"/>
    <n v="683"/>
    <n v="333"/>
    <x v="4"/>
    <s v="Delivery"/>
    <x v="0"/>
    <x v="0"/>
  </r>
  <r>
    <x v="830"/>
    <x v="210"/>
    <s v="Nisha Sharma"/>
    <x v="4"/>
    <x v="15"/>
    <x v="3"/>
    <n v="1"/>
    <n v="220"/>
    <n v="110"/>
    <n v="19"/>
    <n v="201"/>
    <n v="91"/>
    <x v="2"/>
    <s v="Dine-In"/>
    <x v="9"/>
    <x v="0"/>
  </r>
  <r>
    <x v="831"/>
    <x v="221"/>
    <s v="Mohit Agarwal"/>
    <x v="5"/>
    <x v="18"/>
    <x v="6"/>
    <n v="2"/>
    <n v="170"/>
    <n v="85"/>
    <n v="16"/>
    <n v="324"/>
    <n v="154"/>
    <x v="4"/>
    <s v="Takeaway"/>
    <x v="6"/>
    <x v="1"/>
  </r>
  <r>
    <x v="832"/>
    <x v="296"/>
    <s v="Vivek Nair"/>
    <x v="9"/>
    <x v="18"/>
    <x v="6"/>
    <n v="2"/>
    <n v="170"/>
    <n v="85"/>
    <n v="31"/>
    <n v="309"/>
    <n v="139"/>
    <x v="0"/>
    <s v="Dine-In"/>
    <x v="0"/>
    <x v="0"/>
  </r>
  <r>
    <x v="833"/>
    <x v="168"/>
    <s v="Neha Gupta"/>
    <x v="0"/>
    <x v="2"/>
    <x v="2"/>
    <n v="1"/>
    <n v="110"/>
    <n v="55"/>
    <n v="36"/>
    <n v="74"/>
    <n v="19"/>
    <x v="3"/>
    <s v="Dine-In"/>
    <x v="3"/>
    <x v="0"/>
  </r>
  <r>
    <x v="834"/>
    <x v="6"/>
    <s v="Nisha Sharma"/>
    <x v="2"/>
    <x v="11"/>
    <x v="3"/>
    <n v="1"/>
    <n v="200"/>
    <n v="100"/>
    <n v="35"/>
    <n v="165"/>
    <n v="65"/>
    <x v="4"/>
    <s v="Takeaway"/>
    <x v="3"/>
    <x v="2"/>
  </r>
  <r>
    <x v="835"/>
    <x v="297"/>
    <s v="Priya Patel"/>
    <x v="2"/>
    <x v="11"/>
    <x v="3"/>
    <n v="1"/>
    <n v="200"/>
    <n v="100"/>
    <n v="44"/>
    <n v="156"/>
    <n v="56"/>
    <x v="4"/>
    <s v="Delivery"/>
    <x v="2"/>
    <x v="0"/>
  </r>
  <r>
    <x v="836"/>
    <x v="298"/>
    <s v="Ritika Das"/>
    <x v="1"/>
    <x v="12"/>
    <x v="4"/>
    <n v="2"/>
    <n v="170"/>
    <n v="85"/>
    <n v="2"/>
    <n v="338"/>
    <n v="168"/>
    <x v="0"/>
    <s v="Takeaway"/>
    <x v="0"/>
    <x v="2"/>
  </r>
  <r>
    <x v="837"/>
    <x v="71"/>
    <s v="Aarav Sharma"/>
    <x v="7"/>
    <x v="13"/>
    <x v="2"/>
    <n v="3"/>
    <n v="150"/>
    <n v="75"/>
    <n v="5"/>
    <n v="445"/>
    <n v="220"/>
    <x v="0"/>
    <s v="Delivery"/>
    <x v="6"/>
    <x v="1"/>
  </r>
  <r>
    <x v="838"/>
    <x v="299"/>
    <s v="Manish Yadav"/>
    <x v="9"/>
    <x v="5"/>
    <x v="4"/>
    <n v="3"/>
    <n v="220"/>
    <n v="110"/>
    <n v="2"/>
    <n v="658"/>
    <n v="328"/>
    <x v="2"/>
    <s v="Delivery"/>
    <x v="0"/>
    <x v="0"/>
  </r>
  <r>
    <x v="839"/>
    <x v="173"/>
    <s v="Yash Patil"/>
    <x v="4"/>
    <x v="14"/>
    <x v="2"/>
    <n v="2"/>
    <n v="130"/>
    <n v="65"/>
    <n v="2"/>
    <n v="258"/>
    <n v="128"/>
    <x v="4"/>
    <s v="Dine-In"/>
    <x v="7"/>
    <x v="0"/>
  </r>
  <r>
    <x v="840"/>
    <x v="300"/>
    <s v="Akash Naik"/>
    <x v="3"/>
    <x v="18"/>
    <x v="6"/>
    <n v="1"/>
    <n v="170"/>
    <n v="85"/>
    <n v="37"/>
    <n v="133"/>
    <n v="48"/>
    <x v="3"/>
    <s v="Takeaway"/>
    <x v="1"/>
    <x v="1"/>
  </r>
  <r>
    <x v="841"/>
    <x v="301"/>
    <s v="Vikram Rao"/>
    <x v="7"/>
    <x v="7"/>
    <x v="3"/>
    <n v="4"/>
    <n v="150"/>
    <n v="75"/>
    <n v="31"/>
    <n v="569"/>
    <n v="269"/>
    <x v="0"/>
    <s v="Takeaway"/>
    <x v="3"/>
    <x v="2"/>
  </r>
  <r>
    <x v="842"/>
    <x v="292"/>
    <s v="Divya Shetty"/>
    <x v="1"/>
    <x v="19"/>
    <x v="0"/>
    <n v="4"/>
    <n v="80"/>
    <n v="40"/>
    <n v="43"/>
    <n v="277"/>
    <n v="117"/>
    <x v="3"/>
    <s v="Takeaway"/>
    <x v="1"/>
    <x v="1"/>
  </r>
  <r>
    <x v="843"/>
    <x v="191"/>
    <s v="Aarav Sharma"/>
    <x v="9"/>
    <x v="19"/>
    <x v="0"/>
    <n v="2"/>
    <n v="80"/>
    <n v="40"/>
    <n v="34"/>
    <n v="126"/>
    <n v="46"/>
    <x v="3"/>
    <s v="Delivery"/>
    <x v="9"/>
    <x v="0"/>
  </r>
  <r>
    <x v="844"/>
    <x v="302"/>
    <s v="Ananya Singh"/>
    <x v="7"/>
    <x v="16"/>
    <x v="3"/>
    <n v="4"/>
    <n v="120"/>
    <n v="60"/>
    <n v="3"/>
    <n v="477"/>
    <n v="237"/>
    <x v="1"/>
    <s v="Takeaway"/>
    <x v="1"/>
    <x v="2"/>
  </r>
  <r>
    <x v="845"/>
    <x v="303"/>
    <s v="Karan Joshi"/>
    <x v="2"/>
    <x v="19"/>
    <x v="0"/>
    <n v="5"/>
    <n v="80"/>
    <n v="40"/>
    <n v="20"/>
    <n v="380"/>
    <n v="180"/>
    <x v="2"/>
    <s v="Delivery"/>
    <x v="9"/>
    <x v="0"/>
  </r>
  <r>
    <x v="846"/>
    <x v="283"/>
    <s v="Akash Naik"/>
    <x v="3"/>
    <x v="0"/>
    <x v="0"/>
    <n v="1"/>
    <n v="240"/>
    <n v="120"/>
    <n v="48"/>
    <n v="192"/>
    <n v="72"/>
    <x v="0"/>
    <s v="Dine-In"/>
    <x v="3"/>
    <x v="0"/>
  </r>
  <r>
    <x v="847"/>
    <x v="304"/>
    <s v="Aarav Sharma"/>
    <x v="6"/>
    <x v="17"/>
    <x v="4"/>
    <n v="5"/>
    <n v="180"/>
    <n v="90"/>
    <n v="19"/>
    <n v="881"/>
    <n v="431"/>
    <x v="3"/>
    <s v="Dine-In"/>
    <x v="6"/>
    <x v="1"/>
  </r>
  <r>
    <x v="848"/>
    <x v="245"/>
    <s v="Mohit Agarwal"/>
    <x v="5"/>
    <x v="12"/>
    <x v="4"/>
    <n v="5"/>
    <n v="170"/>
    <n v="85"/>
    <n v="38"/>
    <n v="812"/>
    <n v="387"/>
    <x v="4"/>
    <s v="Dine-In"/>
    <x v="0"/>
    <x v="0"/>
  </r>
  <r>
    <x v="849"/>
    <x v="284"/>
    <s v="Ritika Das"/>
    <x v="4"/>
    <x v="19"/>
    <x v="0"/>
    <n v="1"/>
    <n v="80"/>
    <n v="40"/>
    <n v="20"/>
    <n v="60"/>
    <n v="20"/>
    <x v="4"/>
    <s v="Dine-In"/>
    <x v="4"/>
    <x v="0"/>
  </r>
  <r>
    <x v="850"/>
    <x v="136"/>
    <s v="Siddharth Jain"/>
    <x v="6"/>
    <x v="6"/>
    <x v="0"/>
    <n v="3"/>
    <n v="100"/>
    <n v="50"/>
    <n v="47"/>
    <n v="253"/>
    <n v="103"/>
    <x v="3"/>
    <s v="Dine-In"/>
    <x v="7"/>
    <x v="0"/>
  </r>
  <r>
    <x v="851"/>
    <x v="1"/>
    <s v="Aditi Kapoor"/>
    <x v="8"/>
    <x v="0"/>
    <x v="0"/>
    <n v="1"/>
    <n v="240"/>
    <n v="120"/>
    <n v="48"/>
    <n v="192"/>
    <n v="72"/>
    <x v="0"/>
    <s v="Takeaway"/>
    <x v="1"/>
    <x v="1"/>
  </r>
  <r>
    <x v="852"/>
    <x v="260"/>
    <s v="Rahul Verma"/>
    <x v="0"/>
    <x v="0"/>
    <x v="0"/>
    <n v="5"/>
    <n v="240"/>
    <n v="120"/>
    <n v="0"/>
    <n v="1200"/>
    <n v="600"/>
    <x v="0"/>
    <s v="Dine-In"/>
    <x v="5"/>
    <x v="0"/>
  </r>
  <r>
    <x v="853"/>
    <x v="241"/>
    <s v="Neha Gupta"/>
    <x v="8"/>
    <x v="19"/>
    <x v="0"/>
    <n v="2"/>
    <n v="80"/>
    <n v="40"/>
    <n v="5"/>
    <n v="155"/>
    <n v="75"/>
    <x v="2"/>
    <s v="Delivery"/>
    <x v="4"/>
    <x v="2"/>
  </r>
  <r>
    <x v="854"/>
    <x v="284"/>
    <s v="Divya Shetty"/>
    <x v="7"/>
    <x v="2"/>
    <x v="2"/>
    <n v="4"/>
    <n v="110"/>
    <n v="55"/>
    <n v="49"/>
    <n v="391"/>
    <n v="171"/>
    <x v="1"/>
    <s v="Dine-In"/>
    <x v="2"/>
    <x v="1"/>
  </r>
  <r>
    <x v="855"/>
    <x v="287"/>
    <s v="Yash Patil"/>
    <x v="3"/>
    <x v="8"/>
    <x v="5"/>
    <n v="1"/>
    <n v="210"/>
    <n v="105"/>
    <n v="28"/>
    <n v="182"/>
    <n v="77"/>
    <x v="1"/>
    <s v="Dine-In"/>
    <x v="2"/>
    <x v="1"/>
  </r>
  <r>
    <x v="856"/>
    <x v="191"/>
    <s v="Sneha Nair"/>
    <x v="8"/>
    <x v="7"/>
    <x v="3"/>
    <n v="3"/>
    <n v="150"/>
    <n v="75"/>
    <n v="22"/>
    <n v="428"/>
    <n v="203"/>
    <x v="4"/>
    <s v="Delivery"/>
    <x v="6"/>
    <x v="2"/>
  </r>
  <r>
    <x v="857"/>
    <x v="74"/>
    <s v="Akash Naik"/>
    <x v="0"/>
    <x v="0"/>
    <x v="0"/>
    <n v="2"/>
    <n v="240"/>
    <n v="120"/>
    <n v="46"/>
    <n v="434"/>
    <n v="194"/>
    <x v="0"/>
    <s v="Delivery"/>
    <x v="7"/>
    <x v="0"/>
  </r>
  <r>
    <x v="858"/>
    <x v="208"/>
    <s v="Aman Mishra"/>
    <x v="9"/>
    <x v="7"/>
    <x v="3"/>
    <n v="1"/>
    <n v="150"/>
    <n v="75"/>
    <n v="21"/>
    <n v="129"/>
    <n v="54"/>
    <x v="0"/>
    <s v="Dine-In"/>
    <x v="8"/>
    <x v="2"/>
  </r>
  <r>
    <x v="859"/>
    <x v="289"/>
    <s v="Aditya Kumar"/>
    <x v="0"/>
    <x v="7"/>
    <x v="3"/>
    <n v="1"/>
    <n v="150"/>
    <n v="75"/>
    <n v="38"/>
    <n v="112"/>
    <n v="37"/>
    <x v="3"/>
    <s v="Delivery"/>
    <x v="6"/>
    <x v="2"/>
  </r>
  <r>
    <x v="860"/>
    <x v="190"/>
    <s v="Siddharth Jain"/>
    <x v="6"/>
    <x v="15"/>
    <x v="3"/>
    <n v="4"/>
    <n v="220"/>
    <n v="110"/>
    <n v="16"/>
    <n v="864"/>
    <n v="424"/>
    <x v="4"/>
    <s v="Dine-In"/>
    <x v="0"/>
    <x v="0"/>
  </r>
  <r>
    <x v="861"/>
    <x v="204"/>
    <s v="Aditi Kapoor"/>
    <x v="0"/>
    <x v="2"/>
    <x v="2"/>
    <n v="2"/>
    <n v="110"/>
    <n v="55"/>
    <n v="30"/>
    <n v="190"/>
    <n v="80"/>
    <x v="2"/>
    <s v="Takeaway"/>
    <x v="9"/>
    <x v="2"/>
  </r>
  <r>
    <x v="862"/>
    <x v="52"/>
    <s v="Vikram Rao"/>
    <x v="5"/>
    <x v="19"/>
    <x v="0"/>
    <n v="5"/>
    <n v="80"/>
    <n v="40"/>
    <n v="2"/>
    <n v="398"/>
    <n v="198"/>
    <x v="0"/>
    <s v="Takeaway"/>
    <x v="6"/>
    <x v="0"/>
  </r>
  <r>
    <x v="863"/>
    <x v="271"/>
    <s v="Vikram Rao"/>
    <x v="5"/>
    <x v="6"/>
    <x v="0"/>
    <n v="5"/>
    <n v="100"/>
    <n v="50"/>
    <n v="26"/>
    <n v="474"/>
    <n v="224"/>
    <x v="4"/>
    <s v="Dine-In"/>
    <x v="9"/>
    <x v="2"/>
  </r>
  <r>
    <x v="864"/>
    <x v="305"/>
    <s v="Meera Desai"/>
    <x v="6"/>
    <x v="2"/>
    <x v="2"/>
    <n v="2"/>
    <n v="110"/>
    <n v="55"/>
    <n v="31"/>
    <n v="189"/>
    <n v="79"/>
    <x v="4"/>
    <s v="Takeaway"/>
    <x v="0"/>
    <x v="2"/>
  </r>
  <r>
    <x v="865"/>
    <x v="9"/>
    <s v="Ananya Singh"/>
    <x v="1"/>
    <x v="3"/>
    <x v="3"/>
    <n v="5"/>
    <n v="180"/>
    <n v="90"/>
    <n v="22"/>
    <n v="878"/>
    <n v="428"/>
    <x v="1"/>
    <s v="Dine-In"/>
    <x v="0"/>
    <x v="0"/>
  </r>
  <r>
    <x v="866"/>
    <x v="14"/>
    <s v="Sneha Nair"/>
    <x v="5"/>
    <x v="18"/>
    <x v="6"/>
    <n v="4"/>
    <n v="170"/>
    <n v="85"/>
    <n v="39"/>
    <n v="641"/>
    <n v="301"/>
    <x v="2"/>
    <s v="Takeaway"/>
    <x v="3"/>
    <x v="2"/>
  </r>
  <r>
    <x v="867"/>
    <x v="206"/>
    <s v="Simran Kaur"/>
    <x v="6"/>
    <x v="18"/>
    <x v="6"/>
    <n v="5"/>
    <n v="170"/>
    <n v="85"/>
    <n v="21"/>
    <n v="829"/>
    <n v="404"/>
    <x v="1"/>
    <s v="Dine-In"/>
    <x v="9"/>
    <x v="2"/>
  </r>
  <r>
    <x v="868"/>
    <x v="55"/>
    <s v="Rahul Verma"/>
    <x v="1"/>
    <x v="2"/>
    <x v="2"/>
    <n v="3"/>
    <n v="110"/>
    <n v="55"/>
    <n v="49"/>
    <n v="281"/>
    <n v="116"/>
    <x v="0"/>
    <s v="Delivery"/>
    <x v="9"/>
    <x v="1"/>
  </r>
  <r>
    <x v="869"/>
    <x v="289"/>
    <s v="Siddharth Jain"/>
    <x v="1"/>
    <x v="7"/>
    <x v="3"/>
    <n v="5"/>
    <n v="150"/>
    <n v="75"/>
    <n v="39"/>
    <n v="711"/>
    <n v="336"/>
    <x v="3"/>
    <s v="Delivery"/>
    <x v="1"/>
    <x v="2"/>
  </r>
  <r>
    <x v="870"/>
    <x v="229"/>
    <s v="Simran Kaur"/>
    <x v="8"/>
    <x v="1"/>
    <x v="1"/>
    <n v="4"/>
    <n v="140"/>
    <n v="70"/>
    <n v="21"/>
    <n v="539"/>
    <n v="259"/>
    <x v="1"/>
    <s v="Dine-In"/>
    <x v="0"/>
    <x v="0"/>
  </r>
  <r>
    <x v="871"/>
    <x v="193"/>
    <s v="Harsh Vyas"/>
    <x v="9"/>
    <x v="15"/>
    <x v="3"/>
    <n v="5"/>
    <n v="220"/>
    <n v="110"/>
    <n v="48"/>
    <n v="1052"/>
    <n v="502"/>
    <x v="0"/>
    <s v="Takeaway"/>
    <x v="2"/>
    <x v="0"/>
  </r>
  <r>
    <x v="872"/>
    <x v="165"/>
    <s v="Kavya Iyer"/>
    <x v="0"/>
    <x v="2"/>
    <x v="2"/>
    <n v="5"/>
    <n v="110"/>
    <n v="55"/>
    <n v="37"/>
    <n v="513"/>
    <n v="238"/>
    <x v="2"/>
    <s v="Takeaway"/>
    <x v="8"/>
    <x v="0"/>
  </r>
  <r>
    <x v="873"/>
    <x v="111"/>
    <s v="Tanvi Bhat"/>
    <x v="5"/>
    <x v="11"/>
    <x v="3"/>
    <n v="4"/>
    <n v="200"/>
    <n v="100"/>
    <n v="0"/>
    <n v="800"/>
    <n v="400"/>
    <x v="1"/>
    <s v="Dine-In"/>
    <x v="4"/>
    <x v="0"/>
  </r>
  <r>
    <x v="874"/>
    <x v="112"/>
    <s v="Ishita Roy"/>
    <x v="1"/>
    <x v="8"/>
    <x v="5"/>
    <n v="5"/>
    <n v="210"/>
    <n v="105"/>
    <n v="46"/>
    <n v="1004"/>
    <n v="479"/>
    <x v="4"/>
    <s v="Delivery"/>
    <x v="7"/>
    <x v="2"/>
  </r>
  <r>
    <x v="875"/>
    <x v="259"/>
    <s v="Pooja Kulkarni"/>
    <x v="3"/>
    <x v="0"/>
    <x v="0"/>
    <n v="3"/>
    <n v="240"/>
    <n v="120"/>
    <n v="30"/>
    <n v="690"/>
    <n v="330"/>
    <x v="2"/>
    <s v="Takeaway"/>
    <x v="3"/>
    <x v="0"/>
  </r>
  <r>
    <x v="876"/>
    <x v="306"/>
    <s v="Rohan Mehta"/>
    <x v="9"/>
    <x v="4"/>
    <x v="4"/>
    <n v="3"/>
    <n v="160"/>
    <n v="80"/>
    <n v="40"/>
    <n v="440"/>
    <n v="200"/>
    <x v="1"/>
    <s v="Dine-In"/>
    <x v="2"/>
    <x v="1"/>
  </r>
  <r>
    <x v="877"/>
    <x v="274"/>
    <s v="Harsh Vyas"/>
    <x v="2"/>
    <x v="7"/>
    <x v="3"/>
    <n v="3"/>
    <n v="150"/>
    <n v="75"/>
    <n v="46"/>
    <n v="404"/>
    <n v="179"/>
    <x v="1"/>
    <s v="Takeaway"/>
    <x v="4"/>
    <x v="2"/>
  </r>
  <r>
    <x v="878"/>
    <x v="9"/>
    <s v="Pooja Kulkarni"/>
    <x v="9"/>
    <x v="6"/>
    <x v="0"/>
    <n v="2"/>
    <n v="100"/>
    <n v="50"/>
    <n v="17"/>
    <n v="183"/>
    <n v="83"/>
    <x v="3"/>
    <s v="Dine-In"/>
    <x v="7"/>
    <x v="0"/>
  </r>
  <r>
    <x v="879"/>
    <x v="161"/>
    <s v="Divya Shetty"/>
    <x v="7"/>
    <x v="0"/>
    <x v="0"/>
    <n v="5"/>
    <n v="240"/>
    <n v="120"/>
    <n v="17"/>
    <n v="1183"/>
    <n v="583"/>
    <x v="4"/>
    <s v="Takeaway"/>
    <x v="2"/>
    <x v="2"/>
  </r>
  <r>
    <x v="880"/>
    <x v="248"/>
    <s v="Harsh Vyas"/>
    <x v="3"/>
    <x v="10"/>
    <x v="5"/>
    <n v="2"/>
    <n v="190"/>
    <n v="95"/>
    <n v="39"/>
    <n v="341"/>
    <n v="151"/>
    <x v="2"/>
    <s v="Delivery"/>
    <x v="7"/>
    <x v="2"/>
  </r>
  <r>
    <x v="881"/>
    <x v="307"/>
    <s v="Vivek Nair"/>
    <x v="3"/>
    <x v="18"/>
    <x v="6"/>
    <n v="3"/>
    <n v="170"/>
    <n v="85"/>
    <n v="15"/>
    <n v="495"/>
    <n v="240"/>
    <x v="0"/>
    <s v="Dine-In"/>
    <x v="7"/>
    <x v="2"/>
  </r>
  <r>
    <x v="882"/>
    <x v="267"/>
    <s v="Aditya Kumar"/>
    <x v="0"/>
    <x v="17"/>
    <x v="4"/>
    <n v="1"/>
    <n v="180"/>
    <n v="90"/>
    <n v="25"/>
    <n v="155"/>
    <n v="65"/>
    <x v="1"/>
    <s v="Dine-In"/>
    <x v="6"/>
    <x v="1"/>
  </r>
  <r>
    <x v="883"/>
    <x v="308"/>
    <s v="Vivek Nair"/>
    <x v="4"/>
    <x v="17"/>
    <x v="4"/>
    <n v="4"/>
    <n v="180"/>
    <n v="90"/>
    <n v="13"/>
    <n v="707"/>
    <n v="347"/>
    <x v="4"/>
    <s v="Dine-In"/>
    <x v="7"/>
    <x v="0"/>
  </r>
  <r>
    <x v="884"/>
    <x v="45"/>
    <s v="Karan Joshi"/>
    <x v="3"/>
    <x v="3"/>
    <x v="3"/>
    <n v="4"/>
    <n v="180"/>
    <n v="90"/>
    <n v="9"/>
    <n v="711"/>
    <n v="351"/>
    <x v="0"/>
    <s v="Takeaway"/>
    <x v="8"/>
    <x v="2"/>
  </r>
  <r>
    <x v="885"/>
    <x v="97"/>
    <s v="Sneha Nair"/>
    <x v="6"/>
    <x v="8"/>
    <x v="5"/>
    <n v="5"/>
    <n v="210"/>
    <n v="105"/>
    <n v="25"/>
    <n v="1025"/>
    <n v="500"/>
    <x v="2"/>
    <s v="Dine-In"/>
    <x v="5"/>
    <x v="2"/>
  </r>
  <r>
    <x v="886"/>
    <x v="301"/>
    <s v="Kavya Iyer"/>
    <x v="4"/>
    <x v="8"/>
    <x v="5"/>
    <n v="3"/>
    <n v="210"/>
    <n v="105"/>
    <n v="18"/>
    <n v="612"/>
    <n v="297"/>
    <x v="3"/>
    <s v="Takeaway"/>
    <x v="6"/>
    <x v="0"/>
  </r>
  <r>
    <x v="887"/>
    <x v="241"/>
    <s v="Meera Desai"/>
    <x v="5"/>
    <x v="8"/>
    <x v="5"/>
    <n v="2"/>
    <n v="210"/>
    <n v="105"/>
    <n v="5"/>
    <n v="415"/>
    <n v="205"/>
    <x v="2"/>
    <s v="Dine-In"/>
    <x v="0"/>
    <x v="0"/>
  </r>
  <r>
    <x v="888"/>
    <x v="108"/>
    <s v="Priya Patel"/>
    <x v="3"/>
    <x v="15"/>
    <x v="3"/>
    <n v="3"/>
    <n v="220"/>
    <n v="110"/>
    <n v="34"/>
    <n v="626"/>
    <n v="296"/>
    <x v="0"/>
    <s v="Takeaway"/>
    <x v="7"/>
    <x v="2"/>
  </r>
  <r>
    <x v="889"/>
    <x v="258"/>
    <s v="Aditi Kapoor"/>
    <x v="7"/>
    <x v="1"/>
    <x v="1"/>
    <n v="4"/>
    <n v="140"/>
    <n v="70"/>
    <n v="41"/>
    <n v="519"/>
    <n v="239"/>
    <x v="4"/>
    <s v="Takeaway"/>
    <x v="5"/>
    <x v="0"/>
  </r>
  <r>
    <x v="890"/>
    <x v="68"/>
    <s v="Neha Gupta"/>
    <x v="1"/>
    <x v="1"/>
    <x v="1"/>
    <n v="2"/>
    <n v="140"/>
    <n v="70"/>
    <n v="47"/>
    <n v="233"/>
    <n v="93"/>
    <x v="4"/>
    <s v="Dine-In"/>
    <x v="5"/>
    <x v="1"/>
  </r>
  <r>
    <x v="891"/>
    <x v="5"/>
    <s v="Arjun Reddy"/>
    <x v="0"/>
    <x v="6"/>
    <x v="0"/>
    <n v="4"/>
    <n v="100"/>
    <n v="50"/>
    <n v="13"/>
    <n v="387"/>
    <n v="187"/>
    <x v="1"/>
    <s v="Delivery"/>
    <x v="2"/>
    <x v="2"/>
  </r>
  <r>
    <x v="892"/>
    <x v="30"/>
    <s v="Ananya Singh"/>
    <x v="6"/>
    <x v="10"/>
    <x v="5"/>
    <n v="3"/>
    <n v="190"/>
    <n v="95"/>
    <n v="49"/>
    <n v="521"/>
    <n v="236"/>
    <x v="4"/>
    <s v="Dine-In"/>
    <x v="9"/>
    <x v="0"/>
  </r>
  <r>
    <x v="893"/>
    <x v="69"/>
    <s v="Ishita Roy"/>
    <x v="9"/>
    <x v="14"/>
    <x v="2"/>
    <n v="3"/>
    <n v="130"/>
    <n v="65"/>
    <n v="3"/>
    <n v="387"/>
    <n v="192"/>
    <x v="3"/>
    <s v="Takeaway"/>
    <x v="9"/>
    <x v="1"/>
  </r>
  <r>
    <x v="894"/>
    <x v="309"/>
    <s v="Ananya Singh"/>
    <x v="2"/>
    <x v="10"/>
    <x v="5"/>
    <n v="4"/>
    <n v="190"/>
    <n v="95"/>
    <n v="40"/>
    <n v="720"/>
    <n v="340"/>
    <x v="1"/>
    <s v="Dine-In"/>
    <x v="7"/>
    <x v="1"/>
  </r>
  <r>
    <x v="895"/>
    <x v="246"/>
    <s v="Manish Yadav"/>
    <x v="1"/>
    <x v="3"/>
    <x v="3"/>
    <n v="3"/>
    <n v="180"/>
    <n v="90"/>
    <n v="46"/>
    <n v="494"/>
    <n v="224"/>
    <x v="3"/>
    <s v="Takeaway"/>
    <x v="6"/>
    <x v="1"/>
  </r>
  <r>
    <x v="896"/>
    <x v="25"/>
    <s v="Simran Kaur"/>
    <x v="6"/>
    <x v="0"/>
    <x v="0"/>
    <n v="1"/>
    <n v="240"/>
    <n v="120"/>
    <n v="27"/>
    <n v="213"/>
    <n v="93"/>
    <x v="0"/>
    <s v="Takeaway"/>
    <x v="6"/>
    <x v="0"/>
  </r>
  <r>
    <x v="897"/>
    <x v="183"/>
    <s v="Nisha Sharma"/>
    <x v="6"/>
    <x v="15"/>
    <x v="3"/>
    <n v="1"/>
    <n v="220"/>
    <n v="110"/>
    <n v="15"/>
    <n v="205"/>
    <n v="95"/>
    <x v="2"/>
    <s v="Takeaway"/>
    <x v="2"/>
    <x v="0"/>
  </r>
  <r>
    <x v="898"/>
    <x v="9"/>
    <s v="Ishita Roy"/>
    <x v="8"/>
    <x v="10"/>
    <x v="5"/>
    <n v="4"/>
    <n v="190"/>
    <n v="95"/>
    <n v="27"/>
    <n v="733"/>
    <n v="353"/>
    <x v="1"/>
    <s v="Takeaway"/>
    <x v="5"/>
    <x v="2"/>
  </r>
  <r>
    <x v="899"/>
    <x v="133"/>
    <s v="Vikram Rao"/>
    <x v="2"/>
    <x v="14"/>
    <x v="2"/>
    <n v="1"/>
    <n v="130"/>
    <n v="65"/>
    <n v="42"/>
    <n v="88"/>
    <n v="23"/>
    <x v="3"/>
    <s v="Delivery"/>
    <x v="9"/>
    <x v="0"/>
  </r>
  <r>
    <x v="900"/>
    <x v="128"/>
    <s v="Shruti Rao"/>
    <x v="1"/>
    <x v="0"/>
    <x v="0"/>
    <n v="1"/>
    <n v="240"/>
    <n v="120"/>
    <n v="48"/>
    <n v="192"/>
    <n v="72"/>
    <x v="2"/>
    <s v="Takeaway"/>
    <x v="0"/>
    <x v="2"/>
  </r>
  <r>
    <x v="901"/>
    <x v="129"/>
    <s v="Arjun Reddy"/>
    <x v="9"/>
    <x v="2"/>
    <x v="2"/>
    <n v="3"/>
    <n v="110"/>
    <n v="55"/>
    <n v="16"/>
    <n v="314"/>
    <n v="149"/>
    <x v="2"/>
    <s v="Delivery"/>
    <x v="1"/>
    <x v="2"/>
  </r>
  <r>
    <x v="902"/>
    <x v="173"/>
    <s v="Meera Desai"/>
    <x v="6"/>
    <x v="17"/>
    <x v="4"/>
    <n v="1"/>
    <n v="180"/>
    <n v="90"/>
    <n v="2"/>
    <n v="178"/>
    <n v="88"/>
    <x v="1"/>
    <s v="Delivery"/>
    <x v="3"/>
    <x v="2"/>
  </r>
  <r>
    <x v="903"/>
    <x v="55"/>
    <s v="Tanvi Bhat"/>
    <x v="1"/>
    <x v="5"/>
    <x v="4"/>
    <n v="1"/>
    <n v="220"/>
    <n v="110"/>
    <n v="50"/>
    <n v="170"/>
    <n v="60"/>
    <x v="0"/>
    <s v="Takeaway"/>
    <x v="0"/>
    <x v="0"/>
  </r>
  <r>
    <x v="904"/>
    <x v="141"/>
    <s v="Vivek Nair"/>
    <x v="2"/>
    <x v="10"/>
    <x v="5"/>
    <n v="2"/>
    <n v="190"/>
    <n v="95"/>
    <n v="37"/>
    <n v="343"/>
    <n v="153"/>
    <x v="1"/>
    <s v="Delivery"/>
    <x v="8"/>
    <x v="1"/>
  </r>
  <r>
    <x v="905"/>
    <x v="225"/>
    <s v="Simran Kaur"/>
    <x v="1"/>
    <x v="16"/>
    <x v="3"/>
    <n v="3"/>
    <n v="120"/>
    <n v="60"/>
    <n v="7"/>
    <n v="353"/>
    <n v="173"/>
    <x v="2"/>
    <s v="Dine-In"/>
    <x v="4"/>
    <x v="2"/>
  </r>
  <r>
    <x v="906"/>
    <x v="308"/>
    <s v="Sneha Nair"/>
    <x v="5"/>
    <x v="14"/>
    <x v="2"/>
    <n v="2"/>
    <n v="130"/>
    <n v="65"/>
    <n v="41"/>
    <n v="219"/>
    <n v="89"/>
    <x v="2"/>
    <s v="Takeaway"/>
    <x v="9"/>
    <x v="1"/>
  </r>
  <r>
    <x v="907"/>
    <x v="27"/>
    <s v="Aditi Kapoor"/>
    <x v="6"/>
    <x v="1"/>
    <x v="1"/>
    <n v="4"/>
    <n v="140"/>
    <n v="70"/>
    <n v="7"/>
    <n v="553"/>
    <n v="273"/>
    <x v="2"/>
    <s v="Delivery"/>
    <x v="2"/>
    <x v="2"/>
  </r>
  <r>
    <x v="908"/>
    <x v="223"/>
    <s v="Neha Gupta"/>
    <x v="6"/>
    <x v="13"/>
    <x v="2"/>
    <n v="2"/>
    <n v="150"/>
    <n v="75"/>
    <n v="3"/>
    <n v="297"/>
    <n v="147"/>
    <x v="2"/>
    <s v="Dine-In"/>
    <x v="9"/>
    <x v="1"/>
  </r>
  <r>
    <x v="909"/>
    <x v="4"/>
    <s v="Arjun Reddy"/>
    <x v="2"/>
    <x v="7"/>
    <x v="3"/>
    <n v="3"/>
    <n v="150"/>
    <n v="75"/>
    <n v="24"/>
    <n v="426"/>
    <n v="201"/>
    <x v="3"/>
    <s v="Dine-In"/>
    <x v="8"/>
    <x v="0"/>
  </r>
  <r>
    <x v="910"/>
    <x v="6"/>
    <s v="Akash Naik"/>
    <x v="3"/>
    <x v="8"/>
    <x v="5"/>
    <n v="4"/>
    <n v="210"/>
    <n v="105"/>
    <n v="23"/>
    <n v="817"/>
    <n v="397"/>
    <x v="2"/>
    <s v="Delivery"/>
    <x v="5"/>
    <x v="0"/>
  </r>
  <r>
    <x v="911"/>
    <x v="104"/>
    <s v="Ananya Singh"/>
    <x v="8"/>
    <x v="5"/>
    <x v="4"/>
    <n v="2"/>
    <n v="220"/>
    <n v="110"/>
    <n v="26"/>
    <n v="414"/>
    <n v="194"/>
    <x v="1"/>
    <s v="Delivery"/>
    <x v="9"/>
    <x v="0"/>
  </r>
  <r>
    <x v="912"/>
    <x v="21"/>
    <s v="Ritika Das"/>
    <x v="0"/>
    <x v="2"/>
    <x v="2"/>
    <n v="2"/>
    <n v="110"/>
    <n v="55"/>
    <n v="5"/>
    <n v="215"/>
    <n v="105"/>
    <x v="4"/>
    <s v="Dine-In"/>
    <x v="4"/>
    <x v="1"/>
  </r>
  <r>
    <x v="913"/>
    <x v="166"/>
    <s v="Priya Patel"/>
    <x v="6"/>
    <x v="19"/>
    <x v="0"/>
    <n v="5"/>
    <n v="80"/>
    <n v="40"/>
    <n v="36"/>
    <n v="364"/>
    <n v="164"/>
    <x v="1"/>
    <s v="Delivery"/>
    <x v="1"/>
    <x v="1"/>
  </r>
  <r>
    <x v="914"/>
    <x v="100"/>
    <s v="Ananya Singh"/>
    <x v="0"/>
    <x v="19"/>
    <x v="0"/>
    <n v="3"/>
    <n v="80"/>
    <n v="40"/>
    <n v="42"/>
    <n v="198"/>
    <n v="78"/>
    <x v="2"/>
    <s v="Takeaway"/>
    <x v="7"/>
    <x v="1"/>
  </r>
  <r>
    <x v="915"/>
    <x v="213"/>
    <s v="Tanvi Bhat"/>
    <x v="5"/>
    <x v="7"/>
    <x v="3"/>
    <n v="2"/>
    <n v="150"/>
    <n v="75"/>
    <n v="15"/>
    <n v="285"/>
    <n v="135"/>
    <x v="4"/>
    <s v="Takeaway"/>
    <x v="6"/>
    <x v="0"/>
  </r>
  <r>
    <x v="916"/>
    <x v="278"/>
    <s v="Aditi Kapoor"/>
    <x v="0"/>
    <x v="9"/>
    <x v="1"/>
    <n v="5"/>
    <n v="120"/>
    <n v="60"/>
    <n v="42"/>
    <n v="558"/>
    <n v="258"/>
    <x v="2"/>
    <s v="Takeaway"/>
    <x v="0"/>
    <x v="2"/>
  </r>
  <r>
    <x v="917"/>
    <x v="84"/>
    <s v="Aarav Sharma"/>
    <x v="9"/>
    <x v="17"/>
    <x v="4"/>
    <n v="2"/>
    <n v="180"/>
    <n v="90"/>
    <n v="50"/>
    <n v="310"/>
    <n v="130"/>
    <x v="2"/>
    <s v="Dine-In"/>
    <x v="0"/>
    <x v="2"/>
  </r>
  <r>
    <x v="918"/>
    <x v="71"/>
    <s v="Aditya Kumar"/>
    <x v="5"/>
    <x v="1"/>
    <x v="1"/>
    <n v="2"/>
    <n v="140"/>
    <n v="70"/>
    <n v="43"/>
    <n v="237"/>
    <n v="97"/>
    <x v="1"/>
    <s v="Delivery"/>
    <x v="3"/>
    <x v="1"/>
  </r>
  <r>
    <x v="919"/>
    <x v="47"/>
    <s v="Neha Gupta"/>
    <x v="2"/>
    <x v="12"/>
    <x v="4"/>
    <n v="5"/>
    <n v="170"/>
    <n v="85"/>
    <n v="34"/>
    <n v="816"/>
    <n v="391"/>
    <x v="2"/>
    <s v="Takeaway"/>
    <x v="2"/>
    <x v="2"/>
  </r>
  <r>
    <x v="920"/>
    <x v="153"/>
    <s v="Shruti Rao"/>
    <x v="4"/>
    <x v="15"/>
    <x v="3"/>
    <n v="5"/>
    <n v="220"/>
    <n v="110"/>
    <n v="3"/>
    <n v="1097"/>
    <n v="547"/>
    <x v="0"/>
    <s v="Delivery"/>
    <x v="3"/>
    <x v="2"/>
  </r>
  <r>
    <x v="921"/>
    <x v="223"/>
    <s v="Tanvi Bhat"/>
    <x v="0"/>
    <x v="12"/>
    <x v="4"/>
    <n v="4"/>
    <n v="170"/>
    <n v="85"/>
    <n v="8"/>
    <n v="672"/>
    <n v="332"/>
    <x v="4"/>
    <s v="Takeaway"/>
    <x v="6"/>
    <x v="0"/>
  </r>
  <r>
    <x v="922"/>
    <x v="199"/>
    <s v="Kavya Iyer"/>
    <x v="8"/>
    <x v="4"/>
    <x v="4"/>
    <n v="3"/>
    <n v="160"/>
    <n v="80"/>
    <n v="2"/>
    <n v="478"/>
    <n v="238"/>
    <x v="2"/>
    <s v="Takeaway"/>
    <x v="3"/>
    <x v="0"/>
  </r>
  <r>
    <x v="923"/>
    <x v="63"/>
    <s v="Vikram Rao"/>
    <x v="8"/>
    <x v="1"/>
    <x v="1"/>
    <n v="4"/>
    <n v="140"/>
    <n v="70"/>
    <n v="36"/>
    <n v="524"/>
    <n v="244"/>
    <x v="0"/>
    <s v="Delivery"/>
    <x v="3"/>
    <x v="1"/>
  </r>
  <r>
    <x v="924"/>
    <x v="197"/>
    <s v="Yash Patil"/>
    <x v="2"/>
    <x v="10"/>
    <x v="5"/>
    <n v="4"/>
    <n v="190"/>
    <n v="95"/>
    <n v="47"/>
    <n v="713"/>
    <n v="333"/>
    <x v="3"/>
    <s v="Takeaway"/>
    <x v="4"/>
    <x v="2"/>
  </r>
  <r>
    <x v="925"/>
    <x v="193"/>
    <s v="Aman Mishra"/>
    <x v="4"/>
    <x v="0"/>
    <x v="0"/>
    <n v="1"/>
    <n v="240"/>
    <n v="120"/>
    <n v="42"/>
    <n v="198"/>
    <n v="78"/>
    <x v="3"/>
    <s v="Delivery"/>
    <x v="7"/>
    <x v="1"/>
  </r>
  <r>
    <x v="926"/>
    <x v="113"/>
    <s v="Akash Naik"/>
    <x v="6"/>
    <x v="9"/>
    <x v="1"/>
    <n v="4"/>
    <n v="120"/>
    <n v="60"/>
    <n v="23"/>
    <n v="457"/>
    <n v="217"/>
    <x v="0"/>
    <s v="Delivery"/>
    <x v="0"/>
    <x v="2"/>
  </r>
  <r>
    <x v="927"/>
    <x v="265"/>
    <s v="Divya Shetty"/>
    <x v="3"/>
    <x v="11"/>
    <x v="3"/>
    <n v="1"/>
    <n v="200"/>
    <n v="100"/>
    <n v="45"/>
    <n v="155"/>
    <n v="55"/>
    <x v="3"/>
    <s v="Dine-In"/>
    <x v="7"/>
    <x v="2"/>
  </r>
  <r>
    <x v="928"/>
    <x v="228"/>
    <s v="Vikram Rao"/>
    <x v="6"/>
    <x v="9"/>
    <x v="1"/>
    <n v="3"/>
    <n v="120"/>
    <n v="60"/>
    <n v="24"/>
    <n v="336"/>
    <n v="156"/>
    <x v="2"/>
    <s v="Delivery"/>
    <x v="5"/>
    <x v="0"/>
  </r>
  <r>
    <x v="929"/>
    <x v="282"/>
    <s v="Siddharth Jain"/>
    <x v="5"/>
    <x v="16"/>
    <x v="3"/>
    <n v="3"/>
    <n v="120"/>
    <n v="60"/>
    <n v="2"/>
    <n v="358"/>
    <n v="178"/>
    <x v="2"/>
    <s v="Delivery"/>
    <x v="3"/>
    <x v="1"/>
  </r>
  <r>
    <x v="930"/>
    <x v="213"/>
    <s v="Arjun Reddy"/>
    <x v="6"/>
    <x v="17"/>
    <x v="4"/>
    <n v="4"/>
    <n v="180"/>
    <n v="90"/>
    <n v="41"/>
    <n v="679"/>
    <n v="319"/>
    <x v="2"/>
    <s v="Delivery"/>
    <x v="3"/>
    <x v="0"/>
  </r>
  <r>
    <x v="931"/>
    <x v="31"/>
    <s v="Harsh Vyas"/>
    <x v="1"/>
    <x v="2"/>
    <x v="2"/>
    <n v="5"/>
    <n v="110"/>
    <n v="55"/>
    <n v="10"/>
    <n v="540"/>
    <n v="265"/>
    <x v="1"/>
    <s v="Takeaway"/>
    <x v="9"/>
    <x v="2"/>
  </r>
  <r>
    <x v="932"/>
    <x v="147"/>
    <s v="Harsh Vyas"/>
    <x v="6"/>
    <x v="13"/>
    <x v="2"/>
    <n v="3"/>
    <n v="150"/>
    <n v="75"/>
    <n v="49"/>
    <n v="401"/>
    <n v="176"/>
    <x v="2"/>
    <s v="Takeaway"/>
    <x v="0"/>
    <x v="2"/>
  </r>
  <r>
    <x v="933"/>
    <x v="48"/>
    <s v="Kavya Iyer"/>
    <x v="5"/>
    <x v="16"/>
    <x v="3"/>
    <n v="4"/>
    <n v="120"/>
    <n v="60"/>
    <n v="19"/>
    <n v="461"/>
    <n v="221"/>
    <x v="2"/>
    <s v="Dine-In"/>
    <x v="0"/>
    <x v="2"/>
  </r>
  <r>
    <x v="934"/>
    <x v="217"/>
    <s v="Arjun Reddy"/>
    <x v="7"/>
    <x v="8"/>
    <x v="5"/>
    <n v="4"/>
    <n v="210"/>
    <n v="105"/>
    <n v="46"/>
    <n v="794"/>
    <n v="374"/>
    <x v="1"/>
    <s v="Takeaway"/>
    <x v="7"/>
    <x v="1"/>
  </r>
  <r>
    <x v="935"/>
    <x v="271"/>
    <s v="Tanvi Bhat"/>
    <x v="5"/>
    <x v="4"/>
    <x v="4"/>
    <n v="2"/>
    <n v="160"/>
    <n v="80"/>
    <n v="40"/>
    <n v="280"/>
    <n v="120"/>
    <x v="1"/>
    <s v="Takeaway"/>
    <x v="7"/>
    <x v="2"/>
  </r>
  <r>
    <x v="936"/>
    <x v="33"/>
    <s v="Rohan Mehta"/>
    <x v="2"/>
    <x v="18"/>
    <x v="6"/>
    <n v="5"/>
    <n v="170"/>
    <n v="85"/>
    <n v="37"/>
    <n v="813"/>
    <n v="388"/>
    <x v="2"/>
    <s v="Takeaway"/>
    <x v="7"/>
    <x v="2"/>
  </r>
  <r>
    <x v="937"/>
    <x v="47"/>
    <s v="Tanvi Bhat"/>
    <x v="8"/>
    <x v="2"/>
    <x v="2"/>
    <n v="3"/>
    <n v="110"/>
    <n v="55"/>
    <n v="45"/>
    <n v="285"/>
    <n v="120"/>
    <x v="2"/>
    <s v="Delivery"/>
    <x v="2"/>
    <x v="1"/>
  </r>
  <r>
    <x v="938"/>
    <x v="303"/>
    <s v="Aditi Kapoor"/>
    <x v="6"/>
    <x v="3"/>
    <x v="3"/>
    <n v="3"/>
    <n v="180"/>
    <n v="90"/>
    <n v="40"/>
    <n v="500"/>
    <n v="230"/>
    <x v="1"/>
    <s v="Takeaway"/>
    <x v="6"/>
    <x v="2"/>
  </r>
  <r>
    <x v="939"/>
    <x v="172"/>
    <s v="Kavya Iyer"/>
    <x v="9"/>
    <x v="3"/>
    <x v="3"/>
    <n v="2"/>
    <n v="180"/>
    <n v="90"/>
    <n v="32"/>
    <n v="328"/>
    <n v="148"/>
    <x v="0"/>
    <s v="Delivery"/>
    <x v="9"/>
    <x v="2"/>
  </r>
  <r>
    <x v="940"/>
    <x v="250"/>
    <s v="Yash Patil"/>
    <x v="3"/>
    <x v="4"/>
    <x v="4"/>
    <n v="2"/>
    <n v="160"/>
    <n v="80"/>
    <n v="11"/>
    <n v="309"/>
    <n v="149"/>
    <x v="4"/>
    <s v="Dine-In"/>
    <x v="0"/>
    <x v="0"/>
  </r>
  <r>
    <x v="941"/>
    <x v="212"/>
    <s v="Akash Naik"/>
    <x v="0"/>
    <x v="8"/>
    <x v="5"/>
    <n v="3"/>
    <n v="210"/>
    <n v="105"/>
    <n v="48"/>
    <n v="582"/>
    <n v="267"/>
    <x v="4"/>
    <s v="Delivery"/>
    <x v="2"/>
    <x v="2"/>
  </r>
  <r>
    <x v="942"/>
    <x v="138"/>
    <s v="Vikram Rao"/>
    <x v="1"/>
    <x v="7"/>
    <x v="3"/>
    <n v="4"/>
    <n v="150"/>
    <n v="75"/>
    <n v="24"/>
    <n v="576"/>
    <n v="276"/>
    <x v="2"/>
    <s v="Delivery"/>
    <x v="7"/>
    <x v="0"/>
  </r>
  <r>
    <x v="943"/>
    <x v="117"/>
    <s v="Mohit Agarwal"/>
    <x v="5"/>
    <x v="18"/>
    <x v="6"/>
    <n v="4"/>
    <n v="170"/>
    <n v="85"/>
    <n v="43"/>
    <n v="637"/>
    <n v="297"/>
    <x v="3"/>
    <s v="Takeaway"/>
    <x v="6"/>
    <x v="2"/>
  </r>
  <r>
    <x v="944"/>
    <x v="272"/>
    <s v="Shruti Rao"/>
    <x v="2"/>
    <x v="16"/>
    <x v="3"/>
    <n v="5"/>
    <n v="120"/>
    <n v="60"/>
    <n v="6"/>
    <n v="594"/>
    <n v="294"/>
    <x v="4"/>
    <s v="Dine-In"/>
    <x v="9"/>
    <x v="1"/>
  </r>
  <r>
    <x v="945"/>
    <x v="52"/>
    <s v="Vivek Nair"/>
    <x v="1"/>
    <x v="15"/>
    <x v="3"/>
    <n v="1"/>
    <n v="220"/>
    <n v="110"/>
    <n v="8"/>
    <n v="212"/>
    <n v="102"/>
    <x v="4"/>
    <s v="Dine-In"/>
    <x v="0"/>
    <x v="0"/>
  </r>
  <r>
    <x v="946"/>
    <x v="294"/>
    <s v="Rohan Mehta"/>
    <x v="0"/>
    <x v="17"/>
    <x v="4"/>
    <n v="2"/>
    <n v="180"/>
    <n v="90"/>
    <n v="30"/>
    <n v="330"/>
    <n v="150"/>
    <x v="4"/>
    <s v="Dine-In"/>
    <x v="8"/>
    <x v="1"/>
  </r>
  <r>
    <x v="947"/>
    <x v="30"/>
    <s v="Akash Naik"/>
    <x v="5"/>
    <x v="9"/>
    <x v="1"/>
    <n v="1"/>
    <n v="120"/>
    <n v="60"/>
    <n v="32"/>
    <n v="88"/>
    <n v="28"/>
    <x v="2"/>
    <s v="Delivery"/>
    <x v="7"/>
    <x v="2"/>
  </r>
  <r>
    <x v="948"/>
    <x v="150"/>
    <s v="Ananya Singh"/>
    <x v="6"/>
    <x v="4"/>
    <x v="4"/>
    <n v="2"/>
    <n v="160"/>
    <n v="80"/>
    <n v="5"/>
    <n v="315"/>
    <n v="155"/>
    <x v="2"/>
    <s v="Dine-In"/>
    <x v="5"/>
    <x v="0"/>
  </r>
  <r>
    <x v="949"/>
    <x v="164"/>
    <s v="Karan Joshi"/>
    <x v="0"/>
    <x v="11"/>
    <x v="3"/>
    <n v="1"/>
    <n v="200"/>
    <n v="100"/>
    <n v="32"/>
    <n v="168"/>
    <n v="68"/>
    <x v="2"/>
    <s v="Dine-In"/>
    <x v="1"/>
    <x v="2"/>
  </r>
  <r>
    <x v="950"/>
    <x v="34"/>
    <s v="Manish Yadav"/>
    <x v="7"/>
    <x v="11"/>
    <x v="3"/>
    <n v="4"/>
    <n v="200"/>
    <n v="100"/>
    <n v="36"/>
    <n v="764"/>
    <n v="364"/>
    <x v="0"/>
    <s v="Takeaway"/>
    <x v="6"/>
    <x v="2"/>
  </r>
  <r>
    <x v="951"/>
    <x v="128"/>
    <s v="Vikram Rao"/>
    <x v="5"/>
    <x v="0"/>
    <x v="0"/>
    <n v="5"/>
    <n v="240"/>
    <n v="120"/>
    <n v="4"/>
    <n v="1196"/>
    <n v="596"/>
    <x v="4"/>
    <s v="Takeaway"/>
    <x v="1"/>
    <x v="1"/>
  </r>
  <r>
    <x v="952"/>
    <x v="254"/>
    <s v="Ananya Singh"/>
    <x v="0"/>
    <x v="3"/>
    <x v="3"/>
    <n v="5"/>
    <n v="180"/>
    <n v="90"/>
    <n v="40"/>
    <n v="860"/>
    <n v="410"/>
    <x v="4"/>
    <s v="Dine-In"/>
    <x v="1"/>
    <x v="1"/>
  </r>
  <r>
    <x v="953"/>
    <x v="19"/>
    <s v="Vikram Rao"/>
    <x v="8"/>
    <x v="6"/>
    <x v="0"/>
    <n v="1"/>
    <n v="100"/>
    <n v="50"/>
    <n v="19"/>
    <n v="81"/>
    <n v="31"/>
    <x v="3"/>
    <s v="Delivery"/>
    <x v="4"/>
    <x v="0"/>
  </r>
  <r>
    <x v="954"/>
    <x v="86"/>
    <s v="Neha Gupta"/>
    <x v="8"/>
    <x v="6"/>
    <x v="0"/>
    <n v="2"/>
    <n v="100"/>
    <n v="50"/>
    <n v="20"/>
    <n v="180"/>
    <n v="80"/>
    <x v="4"/>
    <s v="Dine-In"/>
    <x v="9"/>
    <x v="0"/>
  </r>
  <r>
    <x v="955"/>
    <x v="253"/>
    <s v="Harsh Vyas"/>
    <x v="2"/>
    <x v="0"/>
    <x v="0"/>
    <n v="2"/>
    <n v="240"/>
    <n v="120"/>
    <n v="46"/>
    <n v="434"/>
    <n v="194"/>
    <x v="1"/>
    <s v="Takeaway"/>
    <x v="2"/>
    <x v="1"/>
  </r>
  <r>
    <x v="956"/>
    <x v="238"/>
    <s v="Shruti Rao"/>
    <x v="9"/>
    <x v="12"/>
    <x v="4"/>
    <n v="1"/>
    <n v="170"/>
    <n v="85"/>
    <n v="6"/>
    <n v="164"/>
    <n v="79"/>
    <x v="2"/>
    <s v="Delivery"/>
    <x v="7"/>
    <x v="1"/>
  </r>
  <r>
    <x v="957"/>
    <x v="176"/>
    <s v="Nisha Sharma"/>
    <x v="6"/>
    <x v="4"/>
    <x v="4"/>
    <n v="2"/>
    <n v="160"/>
    <n v="80"/>
    <n v="5"/>
    <n v="315"/>
    <n v="155"/>
    <x v="3"/>
    <s v="Dine-In"/>
    <x v="3"/>
    <x v="2"/>
  </r>
  <r>
    <x v="958"/>
    <x v="260"/>
    <s v="Meera Desai"/>
    <x v="1"/>
    <x v="8"/>
    <x v="5"/>
    <n v="1"/>
    <n v="210"/>
    <n v="105"/>
    <n v="18"/>
    <n v="192"/>
    <n v="87"/>
    <x v="0"/>
    <s v="Dine-In"/>
    <x v="8"/>
    <x v="2"/>
  </r>
  <r>
    <x v="959"/>
    <x v="42"/>
    <s v="Rohan Mehta"/>
    <x v="5"/>
    <x v="11"/>
    <x v="3"/>
    <n v="2"/>
    <n v="200"/>
    <n v="100"/>
    <n v="4"/>
    <n v="396"/>
    <n v="196"/>
    <x v="4"/>
    <s v="Delivery"/>
    <x v="6"/>
    <x v="0"/>
  </r>
  <r>
    <x v="960"/>
    <x v="165"/>
    <s v="Siddharth Jain"/>
    <x v="8"/>
    <x v="1"/>
    <x v="1"/>
    <n v="3"/>
    <n v="140"/>
    <n v="70"/>
    <n v="12"/>
    <n v="408"/>
    <n v="198"/>
    <x v="1"/>
    <s v="Dine-In"/>
    <x v="2"/>
    <x v="0"/>
  </r>
  <r>
    <x v="961"/>
    <x v="66"/>
    <s v="Mohit Agarwal"/>
    <x v="9"/>
    <x v="13"/>
    <x v="2"/>
    <n v="3"/>
    <n v="150"/>
    <n v="75"/>
    <n v="37"/>
    <n v="413"/>
    <n v="188"/>
    <x v="1"/>
    <s v="Dine-In"/>
    <x v="4"/>
    <x v="2"/>
  </r>
  <r>
    <x v="962"/>
    <x v="245"/>
    <s v="Divya Shetty"/>
    <x v="9"/>
    <x v="5"/>
    <x v="4"/>
    <n v="3"/>
    <n v="220"/>
    <n v="110"/>
    <n v="17"/>
    <n v="643"/>
    <n v="313"/>
    <x v="3"/>
    <s v="Takeaway"/>
    <x v="7"/>
    <x v="0"/>
  </r>
  <r>
    <x v="963"/>
    <x v="82"/>
    <s v="Aarav Sharma"/>
    <x v="6"/>
    <x v="16"/>
    <x v="3"/>
    <n v="3"/>
    <n v="120"/>
    <n v="60"/>
    <n v="50"/>
    <n v="310"/>
    <n v="130"/>
    <x v="2"/>
    <s v="Takeaway"/>
    <x v="1"/>
    <x v="0"/>
  </r>
  <r>
    <x v="964"/>
    <x v="153"/>
    <s v="Ishita Roy"/>
    <x v="5"/>
    <x v="18"/>
    <x v="6"/>
    <n v="3"/>
    <n v="170"/>
    <n v="85"/>
    <n v="47"/>
    <n v="463"/>
    <n v="208"/>
    <x v="0"/>
    <s v="Delivery"/>
    <x v="7"/>
    <x v="0"/>
  </r>
  <r>
    <x v="965"/>
    <x v="126"/>
    <s v="Vikram Rao"/>
    <x v="7"/>
    <x v="8"/>
    <x v="5"/>
    <n v="1"/>
    <n v="210"/>
    <n v="105"/>
    <n v="33"/>
    <n v="177"/>
    <n v="72"/>
    <x v="1"/>
    <s v="Delivery"/>
    <x v="6"/>
    <x v="2"/>
  </r>
  <r>
    <x v="966"/>
    <x v="134"/>
    <s v="Vikram Rao"/>
    <x v="2"/>
    <x v="2"/>
    <x v="2"/>
    <n v="4"/>
    <n v="110"/>
    <n v="55"/>
    <n v="13"/>
    <n v="427"/>
    <n v="207"/>
    <x v="3"/>
    <s v="Takeaway"/>
    <x v="5"/>
    <x v="2"/>
  </r>
  <r>
    <x v="967"/>
    <x v="310"/>
    <s v="Yash Patil"/>
    <x v="0"/>
    <x v="10"/>
    <x v="5"/>
    <n v="5"/>
    <n v="190"/>
    <n v="95"/>
    <n v="38"/>
    <n v="912"/>
    <n v="437"/>
    <x v="4"/>
    <s v="Delivery"/>
    <x v="8"/>
    <x v="2"/>
  </r>
  <r>
    <x v="968"/>
    <x v="213"/>
    <s v="Nisha Sharma"/>
    <x v="8"/>
    <x v="1"/>
    <x v="1"/>
    <n v="1"/>
    <n v="140"/>
    <n v="70"/>
    <n v="40"/>
    <n v="100"/>
    <n v="30"/>
    <x v="1"/>
    <s v="Takeaway"/>
    <x v="4"/>
    <x v="2"/>
  </r>
  <r>
    <x v="969"/>
    <x v="311"/>
    <s v="Vivek Nair"/>
    <x v="7"/>
    <x v="7"/>
    <x v="3"/>
    <n v="2"/>
    <n v="150"/>
    <n v="75"/>
    <n v="5"/>
    <n v="295"/>
    <n v="145"/>
    <x v="1"/>
    <s v="Takeaway"/>
    <x v="9"/>
    <x v="1"/>
  </r>
  <r>
    <x v="970"/>
    <x v="57"/>
    <s v="Pooja Kulkarni"/>
    <x v="3"/>
    <x v="0"/>
    <x v="0"/>
    <n v="1"/>
    <n v="240"/>
    <n v="120"/>
    <n v="49"/>
    <n v="191"/>
    <n v="71"/>
    <x v="0"/>
    <s v="Delivery"/>
    <x v="8"/>
    <x v="1"/>
  </r>
  <r>
    <x v="971"/>
    <x v="159"/>
    <s v="Meera Desai"/>
    <x v="6"/>
    <x v="8"/>
    <x v="5"/>
    <n v="4"/>
    <n v="210"/>
    <n v="105"/>
    <n v="6"/>
    <n v="834"/>
    <n v="414"/>
    <x v="3"/>
    <s v="Delivery"/>
    <x v="3"/>
    <x v="1"/>
  </r>
  <r>
    <x v="972"/>
    <x v="158"/>
    <s v="Vivek Nair"/>
    <x v="0"/>
    <x v="7"/>
    <x v="3"/>
    <n v="4"/>
    <n v="150"/>
    <n v="75"/>
    <n v="46"/>
    <n v="554"/>
    <n v="254"/>
    <x v="1"/>
    <s v="Dine-In"/>
    <x v="8"/>
    <x v="0"/>
  </r>
  <r>
    <x v="973"/>
    <x v="54"/>
    <s v="Shruti Rao"/>
    <x v="4"/>
    <x v="19"/>
    <x v="0"/>
    <n v="5"/>
    <n v="80"/>
    <n v="40"/>
    <n v="22"/>
    <n v="378"/>
    <n v="178"/>
    <x v="2"/>
    <s v="Delivery"/>
    <x v="4"/>
    <x v="2"/>
  </r>
  <r>
    <x v="974"/>
    <x v="294"/>
    <s v="Meera Desai"/>
    <x v="7"/>
    <x v="3"/>
    <x v="3"/>
    <n v="1"/>
    <n v="180"/>
    <n v="90"/>
    <n v="12"/>
    <n v="168"/>
    <n v="78"/>
    <x v="4"/>
    <s v="Takeaway"/>
    <x v="3"/>
    <x v="0"/>
  </r>
  <r>
    <x v="975"/>
    <x v="100"/>
    <s v="Tanvi Bhat"/>
    <x v="6"/>
    <x v="1"/>
    <x v="1"/>
    <n v="4"/>
    <n v="140"/>
    <n v="70"/>
    <n v="19"/>
    <n v="541"/>
    <n v="261"/>
    <x v="3"/>
    <s v="Takeaway"/>
    <x v="0"/>
    <x v="0"/>
  </r>
  <r>
    <x v="976"/>
    <x v="41"/>
    <s v="Aman Mishra"/>
    <x v="9"/>
    <x v="14"/>
    <x v="2"/>
    <n v="2"/>
    <n v="130"/>
    <n v="65"/>
    <n v="19"/>
    <n v="241"/>
    <n v="111"/>
    <x v="3"/>
    <s v="Takeaway"/>
    <x v="2"/>
    <x v="1"/>
  </r>
  <r>
    <x v="977"/>
    <x v="269"/>
    <s v="Aditi Kapoor"/>
    <x v="5"/>
    <x v="17"/>
    <x v="4"/>
    <n v="5"/>
    <n v="180"/>
    <n v="90"/>
    <n v="34"/>
    <n v="866"/>
    <n v="416"/>
    <x v="4"/>
    <s v="Delivery"/>
    <x v="9"/>
    <x v="1"/>
  </r>
  <r>
    <x v="978"/>
    <x v="172"/>
    <s v="Siddharth Jain"/>
    <x v="4"/>
    <x v="16"/>
    <x v="3"/>
    <n v="1"/>
    <n v="120"/>
    <n v="60"/>
    <n v="25"/>
    <n v="95"/>
    <n v="35"/>
    <x v="1"/>
    <s v="Delivery"/>
    <x v="3"/>
    <x v="1"/>
  </r>
  <r>
    <x v="979"/>
    <x v="41"/>
    <s v="Siddharth Jain"/>
    <x v="4"/>
    <x v="14"/>
    <x v="2"/>
    <n v="5"/>
    <n v="130"/>
    <n v="65"/>
    <n v="25"/>
    <n v="625"/>
    <n v="300"/>
    <x v="2"/>
    <s v="Takeaway"/>
    <x v="5"/>
    <x v="1"/>
  </r>
  <r>
    <x v="980"/>
    <x v="65"/>
    <s v="Harsh Vyas"/>
    <x v="3"/>
    <x v="17"/>
    <x v="4"/>
    <n v="2"/>
    <n v="180"/>
    <n v="90"/>
    <n v="7"/>
    <n v="353"/>
    <n v="173"/>
    <x v="4"/>
    <s v="Takeaway"/>
    <x v="5"/>
    <x v="1"/>
  </r>
  <r>
    <x v="981"/>
    <x v="312"/>
    <s v="Aditi Kapoor"/>
    <x v="3"/>
    <x v="12"/>
    <x v="4"/>
    <n v="5"/>
    <n v="170"/>
    <n v="85"/>
    <n v="18"/>
    <n v="832"/>
    <n v="407"/>
    <x v="0"/>
    <s v="Takeaway"/>
    <x v="5"/>
    <x v="1"/>
  </r>
  <r>
    <x v="982"/>
    <x v="204"/>
    <s v="Nisha Sharma"/>
    <x v="7"/>
    <x v="0"/>
    <x v="0"/>
    <n v="5"/>
    <n v="240"/>
    <n v="120"/>
    <n v="31"/>
    <n v="1169"/>
    <n v="569"/>
    <x v="1"/>
    <s v="Delivery"/>
    <x v="8"/>
    <x v="1"/>
  </r>
  <r>
    <x v="983"/>
    <x v="84"/>
    <s v="Tanvi Bhat"/>
    <x v="0"/>
    <x v="8"/>
    <x v="5"/>
    <n v="3"/>
    <n v="210"/>
    <n v="105"/>
    <n v="32"/>
    <n v="598"/>
    <n v="283"/>
    <x v="1"/>
    <s v="Delivery"/>
    <x v="9"/>
    <x v="2"/>
  </r>
  <r>
    <x v="984"/>
    <x v="37"/>
    <s v="Ritika Das"/>
    <x v="1"/>
    <x v="19"/>
    <x v="0"/>
    <n v="5"/>
    <n v="80"/>
    <n v="40"/>
    <n v="41"/>
    <n v="359"/>
    <n v="159"/>
    <x v="1"/>
    <s v="Delivery"/>
    <x v="8"/>
    <x v="0"/>
  </r>
  <r>
    <x v="985"/>
    <x v="108"/>
    <s v="Nisha Sharma"/>
    <x v="3"/>
    <x v="0"/>
    <x v="0"/>
    <n v="5"/>
    <n v="240"/>
    <n v="120"/>
    <n v="25"/>
    <n v="1175"/>
    <n v="575"/>
    <x v="3"/>
    <s v="Delivery"/>
    <x v="2"/>
    <x v="1"/>
  </r>
  <r>
    <x v="986"/>
    <x v="25"/>
    <s v="Mohit Agarwal"/>
    <x v="8"/>
    <x v="14"/>
    <x v="2"/>
    <n v="5"/>
    <n v="130"/>
    <n v="65"/>
    <n v="41"/>
    <n v="609"/>
    <n v="284"/>
    <x v="0"/>
    <s v="Takeaway"/>
    <x v="1"/>
    <x v="0"/>
  </r>
  <r>
    <x v="987"/>
    <x v="111"/>
    <s v="Sneha Nair"/>
    <x v="7"/>
    <x v="19"/>
    <x v="0"/>
    <n v="5"/>
    <n v="80"/>
    <n v="40"/>
    <n v="1"/>
    <n v="399"/>
    <n v="199"/>
    <x v="3"/>
    <s v="Takeaway"/>
    <x v="3"/>
    <x v="2"/>
  </r>
  <r>
    <x v="988"/>
    <x v="18"/>
    <s v="Vikram Rao"/>
    <x v="6"/>
    <x v="13"/>
    <x v="2"/>
    <n v="1"/>
    <n v="150"/>
    <n v="75"/>
    <n v="17"/>
    <n v="133"/>
    <n v="58"/>
    <x v="2"/>
    <s v="Delivery"/>
    <x v="2"/>
    <x v="1"/>
  </r>
  <r>
    <x v="989"/>
    <x v="175"/>
    <s v="Rahul Verma"/>
    <x v="4"/>
    <x v="9"/>
    <x v="1"/>
    <n v="1"/>
    <n v="120"/>
    <n v="60"/>
    <n v="25"/>
    <n v="95"/>
    <n v="35"/>
    <x v="4"/>
    <s v="Takeaway"/>
    <x v="8"/>
    <x v="1"/>
  </r>
  <r>
    <x v="990"/>
    <x v="81"/>
    <s v="Harsh Vyas"/>
    <x v="4"/>
    <x v="1"/>
    <x v="1"/>
    <n v="1"/>
    <n v="140"/>
    <n v="70"/>
    <n v="12"/>
    <n v="128"/>
    <n v="58"/>
    <x v="3"/>
    <s v="Takeaway"/>
    <x v="9"/>
    <x v="2"/>
  </r>
  <r>
    <x v="991"/>
    <x v="313"/>
    <s v="Ananya Singh"/>
    <x v="0"/>
    <x v="4"/>
    <x v="4"/>
    <n v="3"/>
    <n v="160"/>
    <n v="80"/>
    <n v="32"/>
    <n v="448"/>
    <n v="208"/>
    <x v="3"/>
    <s v="Dine-In"/>
    <x v="2"/>
    <x v="0"/>
  </r>
  <r>
    <x v="992"/>
    <x v="250"/>
    <s v="Ritika Das"/>
    <x v="5"/>
    <x v="13"/>
    <x v="2"/>
    <n v="1"/>
    <n v="150"/>
    <n v="75"/>
    <n v="50"/>
    <n v="100"/>
    <n v="25"/>
    <x v="0"/>
    <s v="Takeaway"/>
    <x v="9"/>
    <x v="0"/>
  </r>
  <r>
    <x v="993"/>
    <x v="68"/>
    <s v="Mohit Agarwal"/>
    <x v="4"/>
    <x v="14"/>
    <x v="2"/>
    <n v="1"/>
    <n v="130"/>
    <n v="65"/>
    <n v="16"/>
    <n v="114"/>
    <n v="49"/>
    <x v="3"/>
    <s v="Dine-In"/>
    <x v="7"/>
    <x v="1"/>
  </r>
  <r>
    <x v="994"/>
    <x v="230"/>
    <s v="Shruti Rao"/>
    <x v="0"/>
    <x v="10"/>
    <x v="5"/>
    <n v="2"/>
    <n v="190"/>
    <n v="95"/>
    <n v="28"/>
    <n v="352"/>
    <n v="162"/>
    <x v="3"/>
    <s v="Dine-In"/>
    <x v="7"/>
    <x v="2"/>
  </r>
  <r>
    <x v="995"/>
    <x v="70"/>
    <s v="Priya Patel"/>
    <x v="2"/>
    <x v="4"/>
    <x v="4"/>
    <n v="2"/>
    <n v="160"/>
    <n v="80"/>
    <n v="32"/>
    <n v="288"/>
    <n v="128"/>
    <x v="0"/>
    <s v="Delivery"/>
    <x v="5"/>
    <x v="2"/>
  </r>
  <r>
    <x v="996"/>
    <x v="66"/>
    <s v="Mohit Agarwal"/>
    <x v="6"/>
    <x v="11"/>
    <x v="3"/>
    <n v="4"/>
    <n v="200"/>
    <n v="100"/>
    <n v="3"/>
    <n v="797"/>
    <n v="397"/>
    <x v="4"/>
    <s v="Takeaway"/>
    <x v="1"/>
    <x v="0"/>
  </r>
  <r>
    <x v="997"/>
    <x v="205"/>
    <s v="Siddharth Jain"/>
    <x v="2"/>
    <x v="4"/>
    <x v="4"/>
    <n v="2"/>
    <n v="160"/>
    <n v="80"/>
    <n v="42"/>
    <n v="278"/>
    <n v="118"/>
    <x v="3"/>
    <s v="Dine-In"/>
    <x v="9"/>
    <x v="1"/>
  </r>
  <r>
    <x v="998"/>
    <x v="312"/>
    <s v="Tanvi Bhat"/>
    <x v="7"/>
    <x v="8"/>
    <x v="5"/>
    <n v="4"/>
    <n v="210"/>
    <n v="105"/>
    <n v="46"/>
    <n v="794"/>
    <n v="374"/>
    <x v="1"/>
    <s v="Takeaway"/>
    <x v="1"/>
    <x v="1"/>
  </r>
  <r>
    <x v="999"/>
    <x v="314"/>
    <s v="Siddharth Jain"/>
    <x v="9"/>
    <x v="1"/>
    <x v="1"/>
    <n v="2"/>
    <n v="140"/>
    <n v="70"/>
    <n v="22"/>
    <n v="258"/>
    <n v="118"/>
    <x v="0"/>
    <s v="Dine-In"/>
    <x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9619F7-4CA9-43D7-8E48-2666725EBDC2}" name="PivotTable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7">
    <pivotField showAll="0"/>
    <pivotField numFmtId="14" showAll="0">
      <items count="316">
        <item x="196"/>
        <item x="91"/>
        <item x="284"/>
        <item x="256"/>
        <item x="15"/>
        <item x="40"/>
        <item x="9"/>
        <item x="116"/>
        <item x="266"/>
        <item x="217"/>
        <item x="138"/>
        <item x="309"/>
        <item x="34"/>
        <item x="137"/>
        <item x="105"/>
        <item x="162"/>
        <item x="47"/>
        <item x="198"/>
        <item x="199"/>
        <item x="37"/>
        <item x="280"/>
        <item x="130"/>
        <item x="238"/>
        <item x="126"/>
        <item x="279"/>
        <item x="218"/>
        <item x="113"/>
        <item x="140"/>
        <item x="314"/>
        <item x="220"/>
        <item x="52"/>
        <item x="75"/>
        <item x="312"/>
        <item x="274"/>
        <item x="124"/>
        <item x="177"/>
        <item x="273"/>
        <item x="169"/>
        <item x="248"/>
        <item x="160"/>
        <item x="69"/>
        <item x="22"/>
        <item x="253"/>
        <item x="67"/>
        <item x="13"/>
        <item x="174"/>
        <item x="297"/>
        <item x="133"/>
        <item x="51"/>
        <item x="188"/>
        <item x="111"/>
        <item x="136"/>
        <item x="11"/>
        <item x="270"/>
        <item x="55"/>
        <item x="296"/>
        <item x="231"/>
        <item x="276"/>
        <item x="313"/>
        <item x="254"/>
        <item x="154"/>
        <item x="259"/>
        <item x="213"/>
        <item x="307"/>
        <item x="28"/>
        <item x="114"/>
        <item x="3"/>
        <item x="76"/>
        <item x="142"/>
        <item x="304"/>
        <item x="185"/>
        <item x="66"/>
        <item x="132"/>
        <item x="21"/>
        <item x="306"/>
        <item x="182"/>
        <item x="267"/>
        <item x="216"/>
        <item x="48"/>
        <item x="33"/>
        <item x="242"/>
        <item x="100"/>
        <item x="293"/>
        <item x="211"/>
        <item x="118"/>
        <item x="214"/>
        <item x="287"/>
        <item x="166"/>
        <item x="252"/>
        <item x="53"/>
        <item x="221"/>
        <item x="283"/>
        <item x="303"/>
        <item x="23"/>
        <item x="200"/>
        <item x="300"/>
        <item x="101"/>
        <item x="117"/>
        <item x="147"/>
        <item x="165"/>
        <item x="58"/>
        <item x="16"/>
        <item x="41"/>
        <item x="19"/>
        <item x="189"/>
        <item x="102"/>
        <item x="291"/>
        <item x="146"/>
        <item x="78"/>
        <item x="159"/>
        <item x="195"/>
        <item x="152"/>
        <item x="89"/>
        <item x="106"/>
        <item x="27"/>
        <item x="122"/>
        <item x="194"/>
        <item x="156"/>
        <item x="61"/>
        <item x="249"/>
        <item x="6"/>
        <item x="205"/>
        <item x="158"/>
        <item x="97"/>
        <item x="35"/>
        <item x="63"/>
        <item x="219"/>
        <item x="85"/>
        <item x="141"/>
        <item x="258"/>
        <item x="98"/>
        <item x="129"/>
        <item x="285"/>
        <item x="155"/>
        <item x="119"/>
        <item x="232"/>
        <item x="235"/>
        <item x="39"/>
        <item x="125"/>
        <item x="148"/>
        <item x="269"/>
        <item x="161"/>
        <item x="228"/>
        <item x="209"/>
        <item x="295"/>
        <item x="299"/>
        <item x="255"/>
        <item x="192"/>
        <item x="260"/>
        <item x="302"/>
        <item x="230"/>
        <item x="92"/>
        <item x="167"/>
        <item x="263"/>
        <item x="104"/>
        <item x="289"/>
        <item x="131"/>
        <item x="262"/>
        <item x="56"/>
        <item x="236"/>
        <item x="24"/>
        <item x="8"/>
        <item x="305"/>
        <item x="197"/>
        <item x="176"/>
        <item x="153"/>
        <item x="179"/>
        <item x="143"/>
        <item x="109"/>
        <item x="247"/>
        <item x="144"/>
        <item x="286"/>
        <item x="70"/>
        <item x="311"/>
        <item x="277"/>
        <item x="173"/>
        <item x="25"/>
        <item x="288"/>
        <item x="128"/>
        <item x="17"/>
        <item x="79"/>
        <item x="164"/>
        <item x="210"/>
        <item x="150"/>
        <item x="224"/>
        <item x="121"/>
        <item x="204"/>
        <item x="30"/>
        <item x="251"/>
        <item x="168"/>
        <item x="191"/>
        <item x="171"/>
        <item x="183"/>
        <item x="290"/>
        <item x="94"/>
        <item x="49"/>
        <item x="282"/>
        <item x="240"/>
        <item x="294"/>
        <item x="193"/>
        <item x="225"/>
        <item x="278"/>
        <item x="77"/>
        <item x="81"/>
        <item x="241"/>
        <item x="237"/>
        <item x="172"/>
        <item x="298"/>
        <item x="227"/>
        <item x="54"/>
        <item x="180"/>
        <item x="268"/>
        <item x="163"/>
        <item x="74"/>
        <item x="145"/>
        <item x="88"/>
        <item x="95"/>
        <item x="226"/>
        <item x="264"/>
        <item x="31"/>
        <item x="190"/>
        <item x="203"/>
        <item x="115"/>
        <item x="281"/>
        <item x="257"/>
        <item x="32"/>
        <item x="96"/>
        <item x="5"/>
        <item x="292"/>
        <item x="45"/>
        <item x="175"/>
        <item x="308"/>
        <item x="151"/>
        <item x="10"/>
        <item x="202"/>
        <item x="2"/>
        <item x="127"/>
        <item x="86"/>
        <item x="99"/>
        <item x="187"/>
        <item x="243"/>
        <item x="80"/>
        <item x="14"/>
        <item x="244"/>
        <item x="18"/>
        <item x="46"/>
        <item x="72"/>
        <item x="149"/>
        <item x="201"/>
        <item x="90"/>
        <item x="157"/>
        <item x="7"/>
        <item x="44"/>
        <item x="208"/>
        <item x="83"/>
        <item x="272"/>
        <item x="62"/>
        <item x="73"/>
        <item x="65"/>
        <item x="93"/>
        <item x="12"/>
        <item x="184"/>
        <item x="43"/>
        <item x="215"/>
        <item x="103"/>
        <item x="59"/>
        <item x="107"/>
        <item x="170"/>
        <item x="222"/>
        <item x="87"/>
        <item x="186"/>
        <item x="250"/>
        <item x="68"/>
        <item x="57"/>
        <item x="139"/>
        <item x="271"/>
        <item x="71"/>
        <item x="0"/>
        <item x="29"/>
        <item x="229"/>
        <item x="181"/>
        <item x="206"/>
        <item x="212"/>
        <item x="84"/>
        <item x="246"/>
        <item x="310"/>
        <item x="64"/>
        <item x="265"/>
        <item x="239"/>
        <item x="234"/>
        <item x="108"/>
        <item x="261"/>
        <item x="112"/>
        <item x="38"/>
        <item x="245"/>
        <item x="207"/>
        <item x="42"/>
        <item x="4"/>
        <item x="50"/>
        <item x="275"/>
        <item x="134"/>
        <item x="60"/>
        <item x="20"/>
        <item x="82"/>
        <item x="123"/>
        <item x="26"/>
        <item x="301"/>
        <item x="36"/>
        <item x="110"/>
        <item x="223"/>
        <item x="178"/>
        <item x="233"/>
        <item x="120"/>
        <item x="1"/>
        <item x="135"/>
        <item t="default"/>
      </items>
    </pivotField>
    <pivotField showAll="0"/>
    <pivotField showAll="0">
      <items count="11">
        <item x="2"/>
        <item h="1" x="8"/>
        <item x="0"/>
        <item x="6"/>
        <item x="3"/>
        <item x="1"/>
        <item x="7"/>
        <item x="5"/>
        <item x="9"/>
        <item x="4"/>
        <item t="default"/>
      </items>
    </pivotField>
    <pivotField showAll="0"/>
    <pivotField showAll="0">
      <items count="8">
        <item x="2"/>
        <item h="1" x="6"/>
        <item x="3"/>
        <item h="1" x="5"/>
        <item h="1" x="0"/>
        <item h="1" x="4"/>
        <item h="1" x="1"/>
        <item t="default"/>
      </items>
    </pivotField>
    <pivotField showAll="0"/>
    <pivotField numFmtId="166" showAll="0"/>
    <pivotField numFmtId="166" showAll="0"/>
    <pivotField numFmtId="166" showAll="0"/>
    <pivotField dataField="1" numFmtId="166" showAll="0"/>
    <pivotField numFmtId="166" showAll="0"/>
    <pivotField showAll="0">
      <items count="6">
        <item x="4"/>
        <item x="1"/>
        <item h="1" x="3"/>
        <item x="0"/>
        <item x="2"/>
        <item t="default"/>
      </items>
    </pivotField>
    <pivotField showAll="0"/>
    <pivotField showAll="0"/>
    <pivotField showAll="0"/>
    <pivotField showAll="0">
      <items count="15">
        <item h="1" x="0"/>
        <item x="1"/>
        <item x="2"/>
        <item x="3"/>
        <item h="1" x="4"/>
        <item h="1" x="5"/>
        <item x="6"/>
        <item h="1" x="7"/>
        <item h="1" x="8"/>
        <item h="1" x="9"/>
        <item h="1" x="10"/>
        <item h="1" x="11"/>
        <item h="1" x="12"/>
        <item h="1" x="13"/>
        <item t="default"/>
      </items>
    </pivotField>
  </pivotFields>
  <rowItems count="1">
    <i/>
  </rowItems>
  <colItems count="1">
    <i/>
  </colItems>
  <dataFields count="1">
    <dataField name="Total Revenue" fld="10" baseField="0" baseItem="0" numFmtId="169"/>
  </dataFields>
  <formats count="1">
    <format dxfId="1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180C60-C2F2-4759-B94A-5CB83BAE3186}" name="PivotTable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7">
    <pivotField dataField="1" showAll="0"/>
    <pivotField numFmtId="14" showAll="0">
      <items count="316">
        <item x="196"/>
        <item x="91"/>
        <item x="284"/>
        <item x="256"/>
        <item x="15"/>
        <item x="40"/>
        <item x="9"/>
        <item x="116"/>
        <item x="266"/>
        <item x="217"/>
        <item x="138"/>
        <item x="309"/>
        <item x="34"/>
        <item x="137"/>
        <item x="105"/>
        <item x="162"/>
        <item x="47"/>
        <item x="198"/>
        <item x="199"/>
        <item x="37"/>
        <item x="280"/>
        <item x="130"/>
        <item x="238"/>
        <item x="126"/>
        <item x="279"/>
        <item x="218"/>
        <item x="113"/>
        <item x="140"/>
        <item x="314"/>
        <item x="220"/>
        <item x="52"/>
        <item x="75"/>
        <item x="312"/>
        <item x="274"/>
        <item x="124"/>
        <item x="177"/>
        <item x="273"/>
        <item x="169"/>
        <item x="248"/>
        <item x="160"/>
        <item x="69"/>
        <item x="22"/>
        <item x="253"/>
        <item x="67"/>
        <item x="13"/>
        <item x="174"/>
        <item x="297"/>
        <item x="133"/>
        <item x="51"/>
        <item x="188"/>
        <item x="111"/>
        <item x="136"/>
        <item x="11"/>
        <item x="270"/>
        <item x="55"/>
        <item x="296"/>
        <item x="231"/>
        <item x="276"/>
        <item x="313"/>
        <item x="254"/>
        <item x="154"/>
        <item x="259"/>
        <item x="213"/>
        <item x="307"/>
        <item x="28"/>
        <item x="114"/>
        <item x="3"/>
        <item x="76"/>
        <item x="142"/>
        <item x="304"/>
        <item x="185"/>
        <item x="66"/>
        <item x="132"/>
        <item x="21"/>
        <item x="306"/>
        <item x="182"/>
        <item x="267"/>
        <item x="216"/>
        <item x="48"/>
        <item x="33"/>
        <item x="242"/>
        <item x="100"/>
        <item x="293"/>
        <item x="211"/>
        <item x="118"/>
        <item x="214"/>
        <item x="287"/>
        <item x="166"/>
        <item x="252"/>
        <item x="53"/>
        <item x="221"/>
        <item x="283"/>
        <item x="303"/>
        <item x="23"/>
        <item x="200"/>
        <item x="300"/>
        <item x="101"/>
        <item x="117"/>
        <item x="147"/>
        <item x="165"/>
        <item x="58"/>
        <item x="16"/>
        <item x="41"/>
        <item x="19"/>
        <item x="189"/>
        <item x="102"/>
        <item x="291"/>
        <item x="146"/>
        <item x="78"/>
        <item x="159"/>
        <item x="195"/>
        <item x="152"/>
        <item x="89"/>
        <item x="106"/>
        <item x="27"/>
        <item x="122"/>
        <item x="194"/>
        <item x="156"/>
        <item x="61"/>
        <item x="249"/>
        <item x="6"/>
        <item x="205"/>
        <item x="158"/>
        <item x="97"/>
        <item x="35"/>
        <item x="63"/>
        <item x="219"/>
        <item x="85"/>
        <item x="141"/>
        <item x="258"/>
        <item x="98"/>
        <item x="129"/>
        <item x="285"/>
        <item x="155"/>
        <item x="119"/>
        <item x="232"/>
        <item x="235"/>
        <item x="39"/>
        <item x="125"/>
        <item x="148"/>
        <item x="269"/>
        <item x="161"/>
        <item x="228"/>
        <item x="209"/>
        <item x="295"/>
        <item x="299"/>
        <item x="255"/>
        <item x="192"/>
        <item x="260"/>
        <item x="302"/>
        <item x="230"/>
        <item x="92"/>
        <item x="167"/>
        <item x="263"/>
        <item x="104"/>
        <item x="289"/>
        <item x="131"/>
        <item x="262"/>
        <item x="56"/>
        <item x="236"/>
        <item x="24"/>
        <item x="8"/>
        <item x="305"/>
        <item x="197"/>
        <item x="176"/>
        <item x="153"/>
        <item x="179"/>
        <item x="143"/>
        <item x="109"/>
        <item x="247"/>
        <item x="144"/>
        <item x="286"/>
        <item x="70"/>
        <item x="311"/>
        <item x="277"/>
        <item x="173"/>
        <item x="25"/>
        <item x="288"/>
        <item x="128"/>
        <item x="17"/>
        <item x="79"/>
        <item x="164"/>
        <item x="210"/>
        <item x="150"/>
        <item x="224"/>
        <item x="121"/>
        <item x="204"/>
        <item x="30"/>
        <item x="251"/>
        <item x="168"/>
        <item x="191"/>
        <item x="171"/>
        <item x="183"/>
        <item x="290"/>
        <item x="94"/>
        <item x="49"/>
        <item x="282"/>
        <item x="240"/>
        <item x="294"/>
        <item x="193"/>
        <item x="225"/>
        <item x="278"/>
        <item x="77"/>
        <item x="81"/>
        <item x="241"/>
        <item x="237"/>
        <item x="172"/>
        <item x="298"/>
        <item x="227"/>
        <item x="54"/>
        <item x="180"/>
        <item x="268"/>
        <item x="163"/>
        <item x="74"/>
        <item x="145"/>
        <item x="88"/>
        <item x="95"/>
        <item x="226"/>
        <item x="264"/>
        <item x="31"/>
        <item x="190"/>
        <item x="203"/>
        <item x="115"/>
        <item x="281"/>
        <item x="257"/>
        <item x="32"/>
        <item x="96"/>
        <item x="5"/>
        <item x="292"/>
        <item x="45"/>
        <item x="175"/>
        <item x="308"/>
        <item x="151"/>
        <item x="10"/>
        <item x="202"/>
        <item x="2"/>
        <item x="127"/>
        <item x="86"/>
        <item x="99"/>
        <item x="187"/>
        <item x="243"/>
        <item x="80"/>
        <item x="14"/>
        <item x="244"/>
        <item x="18"/>
        <item x="46"/>
        <item x="72"/>
        <item x="149"/>
        <item x="201"/>
        <item x="90"/>
        <item x="157"/>
        <item x="7"/>
        <item x="44"/>
        <item x="208"/>
        <item x="83"/>
        <item x="272"/>
        <item x="62"/>
        <item x="73"/>
        <item x="65"/>
        <item x="93"/>
        <item x="12"/>
        <item x="184"/>
        <item x="43"/>
        <item x="215"/>
        <item x="103"/>
        <item x="59"/>
        <item x="107"/>
        <item x="170"/>
        <item x="222"/>
        <item x="87"/>
        <item x="186"/>
        <item x="250"/>
        <item x="68"/>
        <item x="57"/>
        <item x="139"/>
        <item x="271"/>
        <item x="71"/>
        <item x="0"/>
        <item x="29"/>
        <item x="229"/>
        <item x="181"/>
        <item x="206"/>
        <item x="212"/>
        <item x="84"/>
        <item x="246"/>
        <item x="310"/>
        <item x="64"/>
        <item x="265"/>
        <item x="239"/>
        <item x="234"/>
        <item x="108"/>
        <item x="261"/>
        <item x="112"/>
        <item x="38"/>
        <item x="245"/>
        <item x="207"/>
        <item x="42"/>
        <item x="4"/>
        <item x="50"/>
        <item x="275"/>
        <item x="134"/>
        <item x="60"/>
        <item x="20"/>
        <item x="82"/>
        <item x="123"/>
        <item x="26"/>
        <item x="301"/>
        <item x="36"/>
        <item x="110"/>
        <item x="223"/>
        <item x="178"/>
        <item x="233"/>
        <item x="120"/>
        <item x="1"/>
        <item x="135"/>
        <item t="default"/>
      </items>
    </pivotField>
    <pivotField showAll="0"/>
    <pivotField showAll="0">
      <items count="11">
        <item x="2"/>
        <item h="1" x="8"/>
        <item x="0"/>
        <item x="6"/>
        <item x="3"/>
        <item x="1"/>
        <item x="7"/>
        <item x="5"/>
        <item x="9"/>
        <item x="4"/>
        <item t="default"/>
      </items>
    </pivotField>
    <pivotField showAll="0"/>
    <pivotField showAll="0">
      <items count="8">
        <item x="2"/>
        <item h="1" x="6"/>
        <item x="3"/>
        <item h="1" x="5"/>
        <item h="1" x="0"/>
        <item h="1" x="4"/>
        <item h="1" x="1"/>
        <item t="default"/>
      </items>
    </pivotField>
    <pivotField showAll="0"/>
    <pivotField numFmtId="166" showAll="0"/>
    <pivotField numFmtId="166" showAll="0"/>
    <pivotField numFmtId="166" showAll="0"/>
    <pivotField numFmtId="166" showAll="0"/>
    <pivotField numFmtId="166" showAll="0"/>
    <pivotField showAll="0">
      <items count="6">
        <item x="4"/>
        <item x="1"/>
        <item h="1" x="3"/>
        <item x="0"/>
        <item x="2"/>
        <item t="default"/>
      </items>
    </pivotField>
    <pivotField showAll="0"/>
    <pivotField showAll="0"/>
    <pivotField showAll="0"/>
    <pivotField showAll="0">
      <items count="15">
        <item h="1" x="0"/>
        <item x="1"/>
        <item x="2"/>
        <item x="3"/>
        <item h="1" x="4"/>
        <item h="1" x="5"/>
        <item x="6"/>
        <item h="1" x="7"/>
        <item h="1" x="8"/>
        <item h="1" x="9"/>
        <item h="1" x="10"/>
        <item h="1" x="11"/>
        <item h="1" x="12"/>
        <item h="1" x="13"/>
        <item t="default"/>
      </items>
    </pivotField>
  </pivotFields>
  <rowItems count="1">
    <i/>
  </rowItems>
  <colItems count="1">
    <i/>
  </colItems>
  <dataFields count="1">
    <dataField name="Total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4B0400-0765-4976-873A-37039E55DE77}" name="PivotTable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7">
    <pivotField showAll="0"/>
    <pivotField numFmtId="14" showAll="0">
      <items count="316">
        <item x="196"/>
        <item x="91"/>
        <item x="284"/>
        <item x="256"/>
        <item x="15"/>
        <item x="40"/>
        <item x="9"/>
        <item x="116"/>
        <item x="266"/>
        <item x="217"/>
        <item x="138"/>
        <item x="309"/>
        <item x="34"/>
        <item x="137"/>
        <item x="105"/>
        <item x="162"/>
        <item x="47"/>
        <item x="198"/>
        <item x="199"/>
        <item x="37"/>
        <item x="280"/>
        <item x="130"/>
        <item x="238"/>
        <item x="126"/>
        <item x="279"/>
        <item x="218"/>
        <item x="113"/>
        <item x="140"/>
        <item x="314"/>
        <item x="220"/>
        <item x="52"/>
        <item x="75"/>
        <item x="312"/>
        <item x="274"/>
        <item x="124"/>
        <item x="177"/>
        <item x="273"/>
        <item x="169"/>
        <item x="248"/>
        <item x="160"/>
        <item x="69"/>
        <item x="22"/>
        <item x="253"/>
        <item x="67"/>
        <item x="13"/>
        <item x="174"/>
        <item x="297"/>
        <item x="133"/>
        <item x="51"/>
        <item x="188"/>
        <item x="111"/>
        <item x="136"/>
        <item x="11"/>
        <item x="270"/>
        <item x="55"/>
        <item x="296"/>
        <item x="231"/>
        <item x="276"/>
        <item x="313"/>
        <item x="254"/>
        <item x="154"/>
        <item x="259"/>
        <item x="213"/>
        <item x="307"/>
        <item x="28"/>
        <item x="114"/>
        <item x="3"/>
        <item x="76"/>
        <item x="142"/>
        <item x="304"/>
        <item x="185"/>
        <item x="66"/>
        <item x="132"/>
        <item x="21"/>
        <item x="306"/>
        <item x="182"/>
        <item x="267"/>
        <item x="216"/>
        <item x="48"/>
        <item x="33"/>
        <item x="242"/>
        <item x="100"/>
        <item x="293"/>
        <item x="211"/>
        <item x="118"/>
        <item x="214"/>
        <item x="287"/>
        <item x="166"/>
        <item x="252"/>
        <item x="53"/>
        <item x="221"/>
        <item x="283"/>
        <item x="303"/>
        <item x="23"/>
        <item x="200"/>
        <item x="300"/>
        <item x="101"/>
        <item x="117"/>
        <item x="147"/>
        <item x="165"/>
        <item x="58"/>
        <item x="16"/>
        <item x="41"/>
        <item x="19"/>
        <item x="189"/>
        <item x="102"/>
        <item x="291"/>
        <item x="146"/>
        <item x="78"/>
        <item x="159"/>
        <item x="195"/>
        <item x="152"/>
        <item x="89"/>
        <item x="106"/>
        <item x="27"/>
        <item x="122"/>
        <item x="194"/>
        <item x="156"/>
        <item x="61"/>
        <item x="249"/>
        <item x="6"/>
        <item x="205"/>
        <item x="158"/>
        <item x="97"/>
        <item x="35"/>
        <item x="63"/>
        <item x="219"/>
        <item x="85"/>
        <item x="141"/>
        <item x="258"/>
        <item x="98"/>
        <item x="129"/>
        <item x="285"/>
        <item x="155"/>
        <item x="119"/>
        <item x="232"/>
        <item x="235"/>
        <item x="39"/>
        <item x="125"/>
        <item x="148"/>
        <item x="269"/>
        <item x="161"/>
        <item x="228"/>
        <item x="209"/>
        <item x="295"/>
        <item x="299"/>
        <item x="255"/>
        <item x="192"/>
        <item x="260"/>
        <item x="302"/>
        <item x="230"/>
        <item x="92"/>
        <item x="167"/>
        <item x="263"/>
        <item x="104"/>
        <item x="289"/>
        <item x="131"/>
        <item x="262"/>
        <item x="56"/>
        <item x="236"/>
        <item x="24"/>
        <item x="8"/>
        <item x="305"/>
        <item x="197"/>
        <item x="176"/>
        <item x="153"/>
        <item x="179"/>
        <item x="143"/>
        <item x="109"/>
        <item x="247"/>
        <item x="144"/>
        <item x="286"/>
        <item x="70"/>
        <item x="311"/>
        <item x="277"/>
        <item x="173"/>
        <item x="25"/>
        <item x="288"/>
        <item x="128"/>
        <item x="17"/>
        <item x="79"/>
        <item x="164"/>
        <item x="210"/>
        <item x="150"/>
        <item x="224"/>
        <item x="121"/>
        <item x="204"/>
        <item x="30"/>
        <item x="251"/>
        <item x="168"/>
        <item x="191"/>
        <item x="171"/>
        <item x="183"/>
        <item x="290"/>
        <item x="94"/>
        <item x="49"/>
        <item x="282"/>
        <item x="240"/>
        <item x="294"/>
        <item x="193"/>
        <item x="225"/>
        <item x="278"/>
        <item x="77"/>
        <item x="81"/>
        <item x="241"/>
        <item x="237"/>
        <item x="172"/>
        <item x="298"/>
        <item x="227"/>
        <item x="54"/>
        <item x="180"/>
        <item x="268"/>
        <item x="163"/>
        <item x="74"/>
        <item x="145"/>
        <item x="88"/>
        <item x="95"/>
        <item x="226"/>
        <item x="264"/>
        <item x="31"/>
        <item x="190"/>
        <item x="203"/>
        <item x="115"/>
        <item x="281"/>
        <item x="257"/>
        <item x="32"/>
        <item x="96"/>
        <item x="5"/>
        <item x="292"/>
        <item x="45"/>
        <item x="175"/>
        <item x="308"/>
        <item x="151"/>
        <item x="10"/>
        <item x="202"/>
        <item x="2"/>
        <item x="127"/>
        <item x="86"/>
        <item x="99"/>
        <item x="187"/>
        <item x="243"/>
        <item x="80"/>
        <item x="14"/>
        <item x="244"/>
        <item x="18"/>
        <item x="46"/>
        <item x="72"/>
        <item x="149"/>
        <item x="201"/>
        <item x="90"/>
        <item x="157"/>
        <item x="7"/>
        <item x="44"/>
        <item x="208"/>
        <item x="83"/>
        <item x="272"/>
        <item x="62"/>
        <item x="73"/>
        <item x="65"/>
        <item x="93"/>
        <item x="12"/>
        <item x="184"/>
        <item x="43"/>
        <item x="215"/>
        <item x="103"/>
        <item x="59"/>
        <item x="107"/>
        <item x="170"/>
        <item x="222"/>
        <item x="87"/>
        <item x="186"/>
        <item x="250"/>
        <item x="68"/>
        <item x="57"/>
        <item x="139"/>
        <item x="271"/>
        <item x="71"/>
        <item x="0"/>
        <item x="29"/>
        <item x="229"/>
        <item x="181"/>
        <item x="206"/>
        <item x="212"/>
        <item x="84"/>
        <item x="246"/>
        <item x="310"/>
        <item x="64"/>
        <item x="265"/>
        <item x="239"/>
        <item x="234"/>
        <item x="108"/>
        <item x="261"/>
        <item x="112"/>
        <item x="38"/>
        <item x="245"/>
        <item x="207"/>
        <item x="42"/>
        <item x="4"/>
        <item x="50"/>
        <item x="275"/>
        <item x="134"/>
        <item x="60"/>
        <item x="20"/>
        <item x="82"/>
        <item x="123"/>
        <item x="26"/>
        <item x="301"/>
        <item x="36"/>
        <item x="110"/>
        <item x="223"/>
        <item x="178"/>
        <item x="233"/>
        <item x="120"/>
        <item x="1"/>
        <item x="135"/>
        <item t="default"/>
      </items>
    </pivotField>
    <pivotField dataField="1" showAll="0"/>
    <pivotField showAll="0">
      <items count="11">
        <item x="2"/>
        <item h="1" x="8"/>
        <item x="0"/>
        <item x="6"/>
        <item x="3"/>
        <item x="1"/>
        <item x="7"/>
        <item x="5"/>
        <item x="9"/>
        <item x="4"/>
        <item t="default"/>
      </items>
    </pivotField>
    <pivotField showAll="0"/>
    <pivotField showAll="0">
      <items count="8">
        <item x="2"/>
        <item h="1" x="6"/>
        <item x="3"/>
        <item h="1" x="5"/>
        <item h="1" x="0"/>
        <item h="1" x="4"/>
        <item h="1" x="1"/>
        <item t="default"/>
      </items>
    </pivotField>
    <pivotField showAll="0"/>
    <pivotField numFmtId="166" showAll="0"/>
    <pivotField numFmtId="166" showAll="0"/>
    <pivotField numFmtId="166" showAll="0"/>
    <pivotField numFmtId="166" showAll="0"/>
    <pivotField numFmtId="166" showAll="0"/>
    <pivotField showAll="0">
      <items count="6">
        <item x="4"/>
        <item x="1"/>
        <item h="1" x="3"/>
        <item x="0"/>
        <item x="2"/>
        <item t="default"/>
      </items>
    </pivotField>
    <pivotField showAll="0"/>
    <pivotField showAll="0"/>
    <pivotField showAll="0"/>
    <pivotField showAll="0">
      <items count="15">
        <item h="1" x="0"/>
        <item x="1"/>
        <item x="2"/>
        <item x="3"/>
        <item h="1" x="4"/>
        <item h="1" x="5"/>
        <item x="6"/>
        <item h="1" x="7"/>
        <item h="1" x="8"/>
        <item h="1" x="9"/>
        <item h="1" x="10"/>
        <item h="1" x="11"/>
        <item h="1" x="12"/>
        <item h="1" x="13"/>
        <item t="default"/>
      </items>
    </pivotField>
  </pivotFields>
  <rowItems count="1">
    <i/>
  </rowItems>
  <colItems count="1">
    <i/>
  </colItems>
  <dataFields count="1">
    <dataField name="Total Customer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C1CA62-BAF3-4072-B4D7-1C9163AEB495}" name="PivotTable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18" firstHeaderRow="1" firstDataRow="1" firstDataCol="0"/>
  <pivotFields count="17">
    <pivotField showAll="0"/>
    <pivotField numFmtId="14" showAll="0">
      <items count="316">
        <item x="196"/>
        <item x="91"/>
        <item x="284"/>
        <item x="256"/>
        <item x="15"/>
        <item x="40"/>
        <item x="9"/>
        <item x="116"/>
        <item x="266"/>
        <item x="217"/>
        <item x="138"/>
        <item x="309"/>
        <item x="34"/>
        <item x="137"/>
        <item x="105"/>
        <item x="162"/>
        <item x="47"/>
        <item x="198"/>
        <item x="199"/>
        <item x="37"/>
        <item x="280"/>
        <item x="130"/>
        <item x="238"/>
        <item x="126"/>
        <item x="279"/>
        <item x="218"/>
        <item x="113"/>
        <item x="140"/>
        <item x="314"/>
        <item x="220"/>
        <item x="52"/>
        <item x="75"/>
        <item x="312"/>
        <item x="274"/>
        <item x="124"/>
        <item x="177"/>
        <item x="273"/>
        <item x="169"/>
        <item x="248"/>
        <item x="160"/>
        <item x="69"/>
        <item x="22"/>
        <item x="253"/>
        <item x="67"/>
        <item x="13"/>
        <item x="174"/>
        <item x="297"/>
        <item x="133"/>
        <item x="51"/>
        <item x="188"/>
        <item x="111"/>
        <item x="136"/>
        <item x="11"/>
        <item x="270"/>
        <item x="55"/>
        <item x="296"/>
        <item x="231"/>
        <item x="276"/>
        <item x="313"/>
        <item x="254"/>
        <item x="154"/>
        <item x="259"/>
        <item x="213"/>
        <item x="307"/>
        <item x="28"/>
        <item x="114"/>
        <item x="3"/>
        <item x="76"/>
        <item x="142"/>
        <item x="304"/>
        <item x="185"/>
        <item x="66"/>
        <item x="132"/>
        <item x="21"/>
        <item x="306"/>
        <item x="182"/>
        <item x="267"/>
        <item x="216"/>
        <item x="48"/>
        <item x="33"/>
        <item x="242"/>
        <item x="100"/>
        <item x="293"/>
        <item x="211"/>
        <item x="118"/>
        <item x="214"/>
        <item x="287"/>
        <item x="166"/>
        <item x="252"/>
        <item x="53"/>
        <item x="221"/>
        <item x="283"/>
        <item x="303"/>
        <item x="23"/>
        <item x="200"/>
        <item x="300"/>
        <item x="101"/>
        <item x="117"/>
        <item x="147"/>
        <item x="165"/>
        <item x="58"/>
        <item x="16"/>
        <item x="41"/>
        <item x="19"/>
        <item x="189"/>
        <item x="102"/>
        <item x="291"/>
        <item x="146"/>
        <item x="78"/>
        <item x="159"/>
        <item x="195"/>
        <item x="152"/>
        <item x="89"/>
        <item x="106"/>
        <item x="27"/>
        <item x="122"/>
        <item x="194"/>
        <item x="156"/>
        <item x="61"/>
        <item x="249"/>
        <item x="6"/>
        <item x="205"/>
        <item x="158"/>
        <item x="97"/>
        <item x="35"/>
        <item x="63"/>
        <item x="219"/>
        <item x="85"/>
        <item x="141"/>
        <item x="258"/>
        <item x="98"/>
        <item x="129"/>
        <item x="285"/>
        <item x="155"/>
        <item x="119"/>
        <item x="232"/>
        <item x="235"/>
        <item x="39"/>
        <item x="125"/>
        <item x="148"/>
        <item x="269"/>
        <item x="161"/>
        <item x="228"/>
        <item x="209"/>
        <item x="295"/>
        <item x="299"/>
        <item x="255"/>
        <item x="192"/>
        <item x="260"/>
        <item x="302"/>
        <item x="230"/>
        <item x="92"/>
        <item x="167"/>
        <item x="263"/>
        <item x="104"/>
        <item x="289"/>
        <item x="131"/>
        <item x="262"/>
        <item x="56"/>
        <item x="236"/>
        <item x="24"/>
        <item x="8"/>
        <item x="305"/>
        <item x="197"/>
        <item x="176"/>
        <item x="153"/>
        <item x="179"/>
        <item x="143"/>
        <item x="109"/>
        <item x="247"/>
        <item x="144"/>
        <item x="286"/>
        <item x="70"/>
        <item x="311"/>
        <item x="277"/>
        <item x="173"/>
        <item x="25"/>
        <item x="288"/>
        <item x="128"/>
        <item x="17"/>
        <item x="79"/>
        <item x="164"/>
        <item x="210"/>
        <item x="150"/>
        <item x="224"/>
        <item x="121"/>
        <item x="204"/>
        <item x="30"/>
        <item x="251"/>
        <item x="168"/>
        <item x="191"/>
        <item x="171"/>
        <item x="183"/>
        <item x="290"/>
        <item x="94"/>
        <item x="49"/>
        <item x="282"/>
        <item x="240"/>
        <item x="294"/>
        <item x="193"/>
        <item x="225"/>
        <item x="278"/>
        <item x="77"/>
        <item x="81"/>
        <item x="241"/>
        <item x="237"/>
        <item x="172"/>
        <item x="298"/>
        <item x="227"/>
        <item x="54"/>
        <item x="180"/>
        <item x="268"/>
        <item x="163"/>
        <item x="74"/>
        <item x="145"/>
        <item x="88"/>
        <item x="95"/>
        <item x="226"/>
        <item x="264"/>
        <item x="31"/>
        <item x="190"/>
        <item x="203"/>
        <item x="115"/>
        <item x="281"/>
        <item x="257"/>
        <item x="32"/>
        <item x="96"/>
        <item x="5"/>
        <item x="292"/>
        <item x="45"/>
        <item x="175"/>
        <item x="308"/>
        <item x="151"/>
        <item x="10"/>
        <item x="202"/>
        <item x="2"/>
        <item x="127"/>
        <item x="86"/>
        <item x="99"/>
        <item x="187"/>
        <item x="243"/>
        <item x="80"/>
        <item x="14"/>
        <item x="244"/>
        <item x="18"/>
        <item x="46"/>
        <item x="72"/>
        <item x="149"/>
        <item x="201"/>
        <item x="90"/>
        <item x="157"/>
        <item x="7"/>
        <item x="44"/>
        <item x="208"/>
        <item x="83"/>
        <item x="272"/>
        <item x="62"/>
        <item x="73"/>
        <item x="65"/>
        <item x="93"/>
        <item x="12"/>
        <item x="184"/>
        <item x="43"/>
        <item x="215"/>
        <item x="103"/>
        <item x="59"/>
        <item x="107"/>
        <item x="170"/>
        <item x="222"/>
        <item x="87"/>
        <item x="186"/>
        <item x="250"/>
        <item x="68"/>
        <item x="57"/>
        <item x="139"/>
        <item x="271"/>
        <item x="71"/>
        <item x="0"/>
        <item x="29"/>
        <item x="229"/>
        <item x="181"/>
        <item x="206"/>
        <item x="212"/>
        <item x="84"/>
        <item x="246"/>
        <item x="310"/>
        <item x="64"/>
        <item x="265"/>
        <item x="239"/>
        <item x="234"/>
        <item x="108"/>
        <item x="261"/>
        <item x="112"/>
        <item x="38"/>
        <item x="245"/>
        <item x="207"/>
        <item x="42"/>
        <item x="4"/>
        <item x="50"/>
        <item x="275"/>
        <item x="134"/>
        <item x="60"/>
        <item x="20"/>
        <item x="82"/>
        <item x="123"/>
        <item x="26"/>
        <item x="301"/>
        <item x="36"/>
        <item x="110"/>
        <item x="223"/>
        <item x="178"/>
        <item x="233"/>
        <item x="120"/>
        <item x="1"/>
        <item x="135"/>
        <item t="default"/>
      </items>
    </pivotField>
    <pivotField showAll="0"/>
    <pivotField showAll="0">
      <items count="11">
        <item x="2"/>
        <item h="1" x="8"/>
        <item x="0"/>
        <item x="6"/>
        <item x="3"/>
        <item x="1"/>
        <item x="7"/>
        <item x="5"/>
        <item x="9"/>
        <item x="4"/>
        <item t="default"/>
      </items>
    </pivotField>
    <pivotField showAll="0"/>
    <pivotField showAll="0">
      <items count="8">
        <item x="2"/>
        <item h="1" x="6"/>
        <item x="3"/>
        <item h="1" x="5"/>
        <item h="1" x="0"/>
        <item h="1" x="4"/>
        <item h="1" x="1"/>
        <item t="default"/>
      </items>
    </pivotField>
    <pivotField showAll="0"/>
    <pivotField numFmtId="166" showAll="0"/>
    <pivotField numFmtId="166" showAll="0"/>
    <pivotField numFmtId="166" showAll="0"/>
    <pivotField numFmtId="166" showAll="0"/>
    <pivotField dataField="1" numFmtId="166" showAll="0"/>
    <pivotField showAll="0">
      <items count="6">
        <item x="4"/>
        <item x="1"/>
        <item h="1" x="3"/>
        <item x="0"/>
        <item x="2"/>
        <item t="default"/>
      </items>
    </pivotField>
    <pivotField showAll="0"/>
    <pivotField showAll="0"/>
    <pivotField showAll="0"/>
    <pivotField showAll="0">
      <items count="15">
        <item h="1" x="0"/>
        <item x="1"/>
        <item x="2"/>
        <item x="3"/>
        <item h="1" x="4"/>
        <item h="1" x="5"/>
        <item x="6"/>
        <item h="1" x="7"/>
        <item h="1" x="8"/>
        <item h="1" x="9"/>
        <item h="1" x="10"/>
        <item h="1" x="11"/>
        <item h="1" x="12"/>
        <item h="1" x="13"/>
        <item t="default"/>
      </items>
    </pivotField>
  </pivotFields>
  <rowItems count="1">
    <i/>
  </rowItems>
  <colItems count="1">
    <i/>
  </colItems>
  <dataFields count="1">
    <dataField name="Total Profit" fld="11" baseField="0" baseItem="0" numFmtId="169"/>
  </dataFields>
  <formats count="1">
    <format dxfId="1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3BFF17-6E83-4FF2-8FB4-61DA3268893E}" name="PivotTable6"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17">
    <pivotField showAll="0"/>
    <pivotField numFmtId="14" showAll="0">
      <items count="316">
        <item x="196"/>
        <item x="91"/>
        <item x="284"/>
        <item x="256"/>
        <item x="15"/>
        <item x="40"/>
        <item x="9"/>
        <item x="116"/>
        <item x="266"/>
        <item x="217"/>
        <item x="138"/>
        <item x="309"/>
        <item x="34"/>
        <item x="137"/>
        <item x="105"/>
        <item x="162"/>
        <item x="47"/>
        <item x="198"/>
        <item x="199"/>
        <item x="37"/>
        <item x="280"/>
        <item x="130"/>
        <item x="238"/>
        <item x="126"/>
        <item x="279"/>
        <item x="218"/>
        <item x="113"/>
        <item x="140"/>
        <item x="314"/>
        <item x="220"/>
        <item x="52"/>
        <item x="75"/>
        <item x="312"/>
        <item x="274"/>
        <item x="124"/>
        <item x="177"/>
        <item x="273"/>
        <item x="169"/>
        <item x="248"/>
        <item x="160"/>
        <item x="69"/>
        <item x="22"/>
        <item x="253"/>
        <item x="67"/>
        <item x="13"/>
        <item x="174"/>
        <item x="297"/>
        <item x="133"/>
        <item x="51"/>
        <item x="188"/>
        <item x="111"/>
        <item x="136"/>
        <item x="11"/>
        <item x="270"/>
        <item x="55"/>
        <item x="296"/>
        <item x="231"/>
        <item x="276"/>
        <item x="313"/>
        <item x="254"/>
        <item x="154"/>
        <item x="259"/>
        <item x="213"/>
        <item x="307"/>
        <item x="28"/>
        <item x="114"/>
        <item x="3"/>
        <item x="76"/>
        <item x="142"/>
        <item x="304"/>
        <item x="185"/>
        <item x="66"/>
        <item x="132"/>
        <item x="21"/>
        <item x="306"/>
        <item x="182"/>
        <item x="267"/>
        <item x="216"/>
        <item x="48"/>
        <item x="33"/>
        <item x="242"/>
        <item x="100"/>
        <item x="293"/>
        <item x="211"/>
        <item x="118"/>
        <item x="214"/>
        <item x="287"/>
        <item x="166"/>
        <item x="252"/>
        <item x="53"/>
        <item x="221"/>
        <item x="283"/>
        <item x="303"/>
        <item x="23"/>
        <item x="200"/>
        <item x="300"/>
        <item x="101"/>
        <item x="117"/>
        <item x="147"/>
        <item x="165"/>
        <item x="58"/>
        <item x="16"/>
        <item x="41"/>
        <item x="19"/>
        <item x="189"/>
        <item x="102"/>
        <item x="291"/>
        <item x="146"/>
        <item x="78"/>
        <item x="159"/>
        <item x="195"/>
        <item x="152"/>
        <item x="89"/>
        <item x="106"/>
        <item x="27"/>
        <item x="122"/>
        <item x="194"/>
        <item x="156"/>
        <item x="61"/>
        <item x="249"/>
        <item x="6"/>
        <item x="205"/>
        <item x="158"/>
        <item x="97"/>
        <item x="35"/>
        <item x="63"/>
        <item x="219"/>
        <item x="85"/>
        <item x="141"/>
        <item x="258"/>
        <item x="98"/>
        <item x="129"/>
        <item x="285"/>
        <item x="155"/>
        <item x="119"/>
        <item x="232"/>
        <item x="235"/>
        <item x="39"/>
        <item x="125"/>
        <item x="148"/>
        <item x="269"/>
        <item x="161"/>
        <item x="228"/>
        <item x="209"/>
        <item x="295"/>
        <item x="299"/>
        <item x="255"/>
        <item x="192"/>
        <item x="260"/>
        <item x="302"/>
        <item x="230"/>
        <item x="92"/>
        <item x="167"/>
        <item x="263"/>
        <item x="104"/>
        <item x="289"/>
        <item x="131"/>
        <item x="262"/>
        <item x="56"/>
        <item x="236"/>
        <item x="24"/>
        <item x="8"/>
        <item x="305"/>
        <item x="197"/>
        <item x="176"/>
        <item x="153"/>
        <item x="179"/>
        <item x="143"/>
        <item x="109"/>
        <item x="247"/>
        <item x="144"/>
        <item x="286"/>
        <item x="70"/>
        <item x="311"/>
        <item x="277"/>
        <item x="173"/>
        <item x="25"/>
        <item x="288"/>
        <item x="128"/>
        <item x="17"/>
        <item x="79"/>
        <item x="164"/>
        <item x="210"/>
        <item x="150"/>
        <item x="224"/>
        <item x="121"/>
        <item x="204"/>
        <item x="30"/>
        <item x="251"/>
        <item x="168"/>
        <item x="191"/>
        <item x="171"/>
        <item x="183"/>
        <item x="290"/>
        <item x="94"/>
        <item x="49"/>
        <item x="282"/>
        <item x="240"/>
        <item x="294"/>
        <item x="193"/>
        <item x="225"/>
        <item x="278"/>
        <item x="77"/>
        <item x="81"/>
        <item x="241"/>
        <item x="237"/>
        <item x="172"/>
        <item x="298"/>
        <item x="227"/>
        <item x="54"/>
        <item x="180"/>
        <item x="268"/>
        <item x="163"/>
        <item x="74"/>
        <item x="145"/>
        <item x="88"/>
        <item x="95"/>
        <item x="226"/>
        <item x="264"/>
        <item x="31"/>
        <item x="190"/>
        <item x="203"/>
        <item x="115"/>
        <item x="281"/>
        <item x="257"/>
        <item x="32"/>
        <item x="96"/>
        <item x="5"/>
        <item x="292"/>
        <item x="45"/>
        <item x="175"/>
        <item x="308"/>
        <item x="151"/>
        <item x="10"/>
        <item x="202"/>
        <item x="2"/>
        <item x="127"/>
        <item x="86"/>
        <item x="99"/>
        <item x="187"/>
        <item x="243"/>
        <item x="80"/>
        <item x="14"/>
        <item x="244"/>
        <item x="18"/>
        <item x="46"/>
        <item x="72"/>
        <item x="149"/>
        <item x="201"/>
        <item x="90"/>
        <item x="157"/>
        <item x="7"/>
        <item x="44"/>
        <item x="208"/>
        <item x="83"/>
        <item x="272"/>
        <item x="62"/>
        <item x="73"/>
        <item x="65"/>
        <item x="93"/>
        <item x="12"/>
        <item x="184"/>
        <item x="43"/>
        <item x="215"/>
        <item x="103"/>
        <item x="59"/>
        <item x="107"/>
        <item x="170"/>
        <item x="222"/>
        <item x="87"/>
        <item x="186"/>
        <item x="250"/>
        <item x="68"/>
        <item x="57"/>
        <item x="139"/>
        <item x="271"/>
        <item x="71"/>
        <item x="0"/>
        <item x="29"/>
        <item x="229"/>
        <item x="181"/>
        <item x="206"/>
        <item x="212"/>
        <item x="84"/>
        <item x="246"/>
        <item x="310"/>
        <item x="64"/>
        <item x="265"/>
        <item x="239"/>
        <item x="234"/>
        <item x="108"/>
        <item x="261"/>
        <item x="112"/>
        <item x="38"/>
        <item x="245"/>
        <item x="207"/>
        <item x="42"/>
        <item x="4"/>
        <item x="50"/>
        <item x="275"/>
        <item x="134"/>
        <item x="60"/>
        <item x="20"/>
        <item x="82"/>
        <item x="123"/>
        <item x="26"/>
        <item x="301"/>
        <item x="36"/>
        <item x="110"/>
        <item x="223"/>
        <item x="178"/>
        <item x="233"/>
        <item x="120"/>
        <item x="1"/>
        <item x="135"/>
        <item t="default"/>
      </items>
    </pivotField>
    <pivotField showAll="0"/>
    <pivotField showAll="0">
      <items count="11">
        <item x="2"/>
        <item h="1" x="8"/>
        <item x="0"/>
        <item x="6"/>
        <item x="3"/>
        <item x="1"/>
        <item x="7"/>
        <item x="5"/>
        <item x="9"/>
        <item x="4"/>
        <item t="default"/>
      </items>
    </pivotField>
    <pivotField showAll="0"/>
    <pivotField showAll="0">
      <items count="8">
        <item x="2"/>
        <item h="1" x="6"/>
        <item x="3"/>
        <item h="1" x="5"/>
        <item h="1" x="0"/>
        <item h="1" x="4"/>
        <item h="1" x="1"/>
        <item t="default"/>
      </items>
    </pivotField>
    <pivotField showAll="0"/>
    <pivotField numFmtId="166" showAll="0"/>
    <pivotField numFmtId="166" showAll="0"/>
    <pivotField numFmtId="166" showAll="0"/>
    <pivotField dataField="1" numFmtId="166" showAll="0"/>
    <pivotField numFmtId="166" showAll="0"/>
    <pivotField showAll="0">
      <items count="6">
        <item x="4"/>
        <item x="1"/>
        <item h="1" x="3"/>
        <item x="0"/>
        <item x="2"/>
        <item t="default"/>
      </items>
    </pivotField>
    <pivotField showAll="0"/>
    <pivotField showAll="0"/>
    <pivotField showAll="0"/>
    <pivotField showAll="0">
      <items count="15">
        <item h="1" x="0"/>
        <item x="1"/>
        <item x="2"/>
        <item x="3"/>
        <item h="1" x="4"/>
        <item h="1" x="5"/>
        <item x="6"/>
        <item h="1" x="7"/>
        <item h="1" x="8"/>
        <item h="1" x="9"/>
        <item h="1" x="10"/>
        <item h="1" x="11"/>
        <item h="1" x="12"/>
        <item h="1" x="13"/>
        <item t="default"/>
      </items>
    </pivotField>
  </pivotFields>
  <rowItems count="1">
    <i/>
  </rowItems>
  <colItems count="1">
    <i/>
  </colItems>
  <dataFields count="1">
    <dataField name="Average Order Value" fld="10"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784003-329F-44F9-81A3-B9677EF2605E}" name="PivotTable1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1:N5" firstHeaderRow="1" firstDataRow="1" firstDataCol="1"/>
  <pivotFields count="17">
    <pivotField showAll="0"/>
    <pivotField numFmtId="14" showAll="0">
      <items count="316">
        <item x="196"/>
        <item x="91"/>
        <item x="284"/>
        <item x="256"/>
        <item x="15"/>
        <item x="40"/>
        <item x="9"/>
        <item x="116"/>
        <item x="266"/>
        <item x="217"/>
        <item x="138"/>
        <item x="309"/>
        <item x="34"/>
        <item x="137"/>
        <item x="105"/>
        <item x="162"/>
        <item x="47"/>
        <item x="198"/>
        <item x="199"/>
        <item x="37"/>
        <item x="280"/>
        <item x="130"/>
        <item x="238"/>
        <item x="126"/>
        <item x="279"/>
        <item x="218"/>
        <item x="113"/>
        <item x="140"/>
        <item x="314"/>
        <item x="220"/>
        <item x="52"/>
        <item x="75"/>
        <item x="312"/>
        <item x="274"/>
        <item x="124"/>
        <item x="177"/>
        <item x="273"/>
        <item x="169"/>
        <item x="248"/>
        <item x="160"/>
        <item x="69"/>
        <item x="22"/>
        <item x="253"/>
        <item x="67"/>
        <item x="13"/>
        <item x="174"/>
        <item x="297"/>
        <item x="133"/>
        <item x="51"/>
        <item x="188"/>
        <item x="111"/>
        <item x="136"/>
        <item x="11"/>
        <item x="270"/>
        <item x="55"/>
        <item x="296"/>
        <item x="231"/>
        <item x="276"/>
        <item x="313"/>
        <item x="254"/>
        <item x="154"/>
        <item x="259"/>
        <item x="213"/>
        <item x="307"/>
        <item x="28"/>
        <item x="114"/>
        <item x="3"/>
        <item x="76"/>
        <item x="142"/>
        <item x="304"/>
        <item x="185"/>
        <item x="66"/>
        <item x="132"/>
        <item x="21"/>
        <item x="306"/>
        <item x="182"/>
        <item x="267"/>
        <item x="216"/>
        <item x="48"/>
        <item x="33"/>
        <item x="242"/>
        <item x="100"/>
        <item x="293"/>
        <item x="211"/>
        <item x="118"/>
        <item x="214"/>
        <item x="287"/>
        <item x="166"/>
        <item x="252"/>
        <item x="53"/>
        <item x="221"/>
        <item x="283"/>
        <item x="303"/>
        <item x="23"/>
        <item x="200"/>
        <item x="300"/>
        <item x="101"/>
        <item x="117"/>
        <item x="147"/>
        <item x="165"/>
        <item x="58"/>
        <item x="16"/>
        <item x="41"/>
        <item x="19"/>
        <item x="189"/>
        <item x="102"/>
        <item x="291"/>
        <item x="146"/>
        <item x="78"/>
        <item x="159"/>
        <item x="195"/>
        <item x="152"/>
        <item x="89"/>
        <item x="106"/>
        <item x="27"/>
        <item x="122"/>
        <item x="194"/>
        <item x="156"/>
        <item x="61"/>
        <item x="249"/>
        <item x="6"/>
        <item x="205"/>
        <item x="158"/>
        <item x="97"/>
        <item x="35"/>
        <item x="63"/>
        <item x="219"/>
        <item x="85"/>
        <item x="141"/>
        <item x="258"/>
        <item x="98"/>
        <item x="129"/>
        <item x="285"/>
        <item x="155"/>
        <item x="119"/>
        <item x="232"/>
        <item x="235"/>
        <item x="39"/>
        <item x="125"/>
        <item x="148"/>
        <item x="269"/>
        <item x="161"/>
        <item x="228"/>
        <item x="209"/>
        <item x="295"/>
        <item x="299"/>
        <item x="255"/>
        <item x="192"/>
        <item x="260"/>
        <item x="302"/>
        <item x="230"/>
        <item x="92"/>
        <item x="167"/>
        <item x="263"/>
        <item x="104"/>
        <item x="289"/>
        <item x="131"/>
        <item x="262"/>
        <item x="56"/>
        <item x="236"/>
        <item x="24"/>
        <item x="8"/>
        <item x="305"/>
        <item x="197"/>
        <item x="176"/>
        <item x="153"/>
        <item x="179"/>
        <item x="143"/>
        <item x="109"/>
        <item x="247"/>
        <item x="144"/>
        <item x="286"/>
        <item x="70"/>
        <item x="311"/>
        <item x="277"/>
        <item x="173"/>
        <item x="25"/>
        <item x="288"/>
        <item x="128"/>
        <item x="17"/>
        <item x="79"/>
        <item x="164"/>
        <item x="210"/>
        <item x="150"/>
        <item x="224"/>
        <item x="121"/>
        <item x="204"/>
        <item x="30"/>
        <item x="251"/>
        <item x="168"/>
        <item x="191"/>
        <item x="171"/>
        <item x="183"/>
        <item x="290"/>
        <item x="94"/>
        <item x="49"/>
        <item x="282"/>
        <item x="240"/>
        <item x="294"/>
        <item x="193"/>
        <item x="225"/>
        <item x="278"/>
        <item x="77"/>
        <item x="81"/>
        <item x="241"/>
        <item x="237"/>
        <item x="172"/>
        <item x="298"/>
        <item x="227"/>
        <item x="54"/>
        <item x="180"/>
        <item x="268"/>
        <item x="163"/>
        <item x="74"/>
        <item x="145"/>
        <item x="88"/>
        <item x="95"/>
        <item x="226"/>
        <item x="264"/>
        <item x="31"/>
        <item x="190"/>
        <item x="203"/>
        <item x="115"/>
        <item x="281"/>
        <item x="257"/>
        <item x="32"/>
        <item x="96"/>
        <item x="5"/>
        <item x="292"/>
        <item x="45"/>
        <item x="175"/>
        <item x="308"/>
        <item x="151"/>
        <item x="10"/>
        <item x="202"/>
        <item x="2"/>
        <item x="127"/>
        <item x="86"/>
        <item x="99"/>
        <item x="187"/>
        <item x="243"/>
        <item x="80"/>
        <item x="14"/>
        <item x="244"/>
        <item x="18"/>
        <item x="46"/>
        <item x="72"/>
        <item x="149"/>
        <item x="201"/>
        <item x="90"/>
        <item x="157"/>
        <item x="7"/>
        <item x="44"/>
        <item x="208"/>
        <item x="83"/>
        <item x="272"/>
        <item x="62"/>
        <item x="73"/>
        <item x="65"/>
        <item x="93"/>
        <item x="12"/>
        <item x="184"/>
        <item x="43"/>
        <item x="215"/>
        <item x="103"/>
        <item x="59"/>
        <item x="107"/>
        <item x="170"/>
        <item x="222"/>
        <item x="87"/>
        <item x="186"/>
        <item x="250"/>
        <item x="68"/>
        <item x="57"/>
        <item x="139"/>
        <item x="271"/>
        <item x="71"/>
        <item x="0"/>
        <item x="29"/>
        <item x="229"/>
        <item x="181"/>
        <item x="206"/>
        <item x="212"/>
        <item x="84"/>
        <item x="246"/>
        <item x="310"/>
        <item x="64"/>
        <item x="265"/>
        <item x="239"/>
        <item x="234"/>
        <item x="108"/>
        <item x="261"/>
        <item x="112"/>
        <item x="38"/>
        <item x="245"/>
        <item x="207"/>
        <item x="42"/>
        <item x="4"/>
        <item x="50"/>
        <item x="275"/>
        <item x="134"/>
        <item x="60"/>
        <item x="20"/>
        <item x="82"/>
        <item x="123"/>
        <item x="26"/>
        <item x="301"/>
        <item x="36"/>
        <item x="110"/>
        <item x="223"/>
        <item x="178"/>
        <item x="233"/>
        <item x="120"/>
        <item x="1"/>
        <item x="135"/>
        <item t="default"/>
      </items>
    </pivotField>
    <pivotField showAll="0"/>
    <pivotField showAll="0">
      <items count="11">
        <item x="2"/>
        <item h="1" x="8"/>
        <item x="0"/>
        <item x="6"/>
        <item x="3"/>
        <item x="1"/>
        <item x="7"/>
        <item x="5"/>
        <item x="9"/>
        <item x="4"/>
        <item t="default"/>
      </items>
    </pivotField>
    <pivotField showAll="0"/>
    <pivotField showAll="0">
      <items count="8">
        <item x="2"/>
        <item h="1" x="6"/>
        <item x="3"/>
        <item h="1" x="5"/>
        <item h="1" x="0"/>
        <item h="1" x="4"/>
        <item h="1" x="1"/>
        <item t="default"/>
      </items>
    </pivotField>
    <pivotField showAll="0"/>
    <pivotField numFmtId="166" showAll="0"/>
    <pivotField numFmtId="166" showAll="0"/>
    <pivotField numFmtId="166" showAll="0"/>
    <pivotField dataField="1" numFmtId="166" showAll="0"/>
    <pivotField numFmtId="166" showAll="0"/>
    <pivotField showAll="0">
      <items count="6">
        <item x="4"/>
        <item x="1"/>
        <item h="1" x="3"/>
        <item x="0"/>
        <item x="2"/>
        <item t="default"/>
      </items>
    </pivotField>
    <pivotField showAll="0"/>
    <pivotField showAll="0"/>
    <pivotField axis="axisRow" showAll="0">
      <items count="4">
        <item x="1"/>
        <item x="0"/>
        <item x="2"/>
        <item t="default"/>
      </items>
    </pivotField>
    <pivotField showAll="0" defaultSubtotal="0">
      <items count="14">
        <item h="1" x="0"/>
        <item x="1"/>
        <item x="2"/>
        <item x="3"/>
        <item h="1" x="4"/>
        <item h="1" x="5"/>
        <item x="6"/>
        <item h="1" x="7"/>
        <item h="1" x="8"/>
        <item h="1" x="9"/>
        <item h="1" x="10"/>
        <item h="1" x="11"/>
        <item h="1" x="12"/>
        <item h="1" x="13"/>
      </items>
    </pivotField>
  </pivotFields>
  <rowFields count="1">
    <field x="15"/>
  </rowFields>
  <rowItems count="4">
    <i>
      <x/>
    </i>
    <i>
      <x v="1"/>
    </i>
    <i>
      <x v="2"/>
    </i>
    <i t="grand">
      <x/>
    </i>
  </rowItems>
  <colItems count="1">
    <i/>
  </colItems>
  <dataFields count="1">
    <dataField name="Count of Total_Sales" fld="10" subtotal="count" baseField="15"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917632-54AA-4D15-B9CD-A9514C8AF3AC}" name="PivotTable1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4:K25" firstHeaderRow="1" firstDataRow="1" firstDataCol="1"/>
  <pivotFields count="17">
    <pivotField showAll="0"/>
    <pivotField numFmtId="14" showAll="0">
      <items count="316">
        <item x="196"/>
        <item x="91"/>
        <item x="284"/>
        <item x="256"/>
        <item x="15"/>
        <item x="40"/>
        <item x="9"/>
        <item x="116"/>
        <item x="266"/>
        <item x="217"/>
        <item x="138"/>
        <item x="309"/>
        <item x="34"/>
        <item x="137"/>
        <item x="105"/>
        <item x="162"/>
        <item x="47"/>
        <item x="198"/>
        <item x="199"/>
        <item x="37"/>
        <item x="280"/>
        <item x="130"/>
        <item x="238"/>
        <item x="126"/>
        <item x="279"/>
        <item x="218"/>
        <item x="113"/>
        <item x="140"/>
        <item x="314"/>
        <item x="220"/>
        <item x="52"/>
        <item x="75"/>
        <item x="312"/>
        <item x="274"/>
        <item x="124"/>
        <item x="177"/>
        <item x="273"/>
        <item x="169"/>
        <item x="248"/>
        <item x="160"/>
        <item x="69"/>
        <item x="22"/>
        <item x="253"/>
        <item x="67"/>
        <item x="13"/>
        <item x="174"/>
        <item x="297"/>
        <item x="133"/>
        <item x="51"/>
        <item x="188"/>
        <item x="111"/>
        <item x="136"/>
        <item x="11"/>
        <item x="270"/>
        <item x="55"/>
        <item x="296"/>
        <item x="231"/>
        <item x="276"/>
        <item x="313"/>
        <item x="254"/>
        <item x="154"/>
        <item x="259"/>
        <item x="213"/>
        <item x="307"/>
        <item x="28"/>
        <item x="114"/>
        <item x="3"/>
        <item x="76"/>
        <item x="142"/>
        <item x="304"/>
        <item x="185"/>
        <item x="66"/>
        <item x="132"/>
        <item x="21"/>
        <item x="306"/>
        <item x="182"/>
        <item x="267"/>
        <item x="216"/>
        <item x="48"/>
        <item x="33"/>
        <item x="242"/>
        <item x="100"/>
        <item x="293"/>
        <item x="211"/>
        <item x="118"/>
        <item x="214"/>
        <item x="287"/>
        <item x="166"/>
        <item x="252"/>
        <item x="53"/>
        <item x="221"/>
        <item x="283"/>
        <item x="303"/>
        <item x="23"/>
        <item x="200"/>
        <item x="300"/>
        <item x="101"/>
        <item x="117"/>
        <item x="147"/>
        <item x="165"/>
        <item x="58"/>
        <item x="16"/>
        <item x="41"/>
        <item x="19"/>
        <item x="189"/>
        <item x="102"/>
        <item x="291"/>
        <item x="146"/>
        <item x="78"/>
        <item x="159"/>
        <item x="195"/>
        <item x="152"/>
        <item x="89"/>
        <item x="106"/>
        <item x="27"/>
        <item x="122"/>
        <item x="194"/>
        <item x="156"/>
        <item x="61"/>
        <item x="249"/>
        <item x="6"/>
        <item x="205"/>
        <item x="158"/>
        <item x="97"/>
        <item x="35"/>
        <item x="63"/>
        <item x="219"/>
        <item x="85"/>
        <item x="141"/>
        <item x="258"/>
        <item x="98"/>
        <item x="129"/>
        <item x="285"/>
        <item x="155"/>
        <item x="119"/>
        <item x="232"/>
        <item x="235"/>
        <item x="39"/>
        <item x="125"/>
        <item x="148"/>
        <item x="269"/>
        <item x="161"/>
        <item x="228"/>
        <item x="209"/>
        <item x="295"/>
        <item x="299"/>
        <item x="255"/>
        <item x="192"/>
        <item x="260"/>
        <item x="302"/>
        <item x="230"/>
        <item x="92"/>
        <item x="167"/>
        <item x="263"/>
        <item x="104"/>
        <item x="289"/>
        <item x="131"/>
        <item x="262"/>
        <item x="56"/>
        <item x="236"/>
        <item x="24"/>
        <item x="8"/>
        <item x="305"/>
        <item x="197"/>
        <item x="176"/>
        <item x="153"/>
        <item x="179"/>
        <item x="143"/>
        <item x="109"/>
        <item x="247"/>
        <item x="144"/>
        <item x="286"/>
        <item x="70"/>
        <item x="311"/>
        <item x="277"/>
        <item x="173"/>
        <item x="25"/>
        <item x="288"/>
        <item x="128"/>
        <item x="17"/>
        <item x="79"/>
        <item x="164"/>
        <item x="210"/>
        <item x="150"/>
        <item x="224"/>
        <item x="121"/>
        <item x="204"/>
        <item x="30"/>
        <item x="251"/>
        <item x="168"/>
        <item x="191"/>
        <item x="171"/>
        <item x="183"/>
        <item x="290"/>
        <item x="94"/>
        <item x="49"/>
        <item x="282"/>
        <item x="240"/>
        <item x="294"/>
        <item x="193"/>
        <item x="225"/>
        <item x="278"/>
        <item x="77"/>
        <item x="81"/>
        <item x="241"/>
        <item x="237"/>
        <item x="172"/>
        <item x="298"/>
        <item x="227"/>
        <item x="54"/>
        <item x="180"/>
        <item x="268"/>
        <item x="163"/>
        <item x="74"/>
        <item x="145"/>
        <item x="88"/>
        <item x="95"/>
        <item x="226"/>
        <item x="264"/>
        <item x="31"/>
        <item x="190"/>
        <item x="203"/>
        <item x="115"/>
        <item x="281"/>
        <item x="257"/>
        <item x="32"/>
        <item x="96"/>
        <item x="5"/>
        <item x="292"/>
        <item x="45"/>
        <item x="175"/>
        <item x="308"/>
        <item x="151"/>
        <item x="10"/>
        <item x="202"/>
        <item x="2"/>
        <item x="127"/>
        <item x="86"/>
        <item x="99"/>
        <item x="187"/>
        <item x="243"/>
        <item x="80"/>
        <item x="14"/>
        <item x="244"/>
        <item x="18"/>
        <item x="46"/>
        <item x="72"/>
        <item x="149"/>
        <item x="201"/>
        <item x="90"/>
        <item x="157"/>
        <item x="7"/>
        <item x="44"/>
        <item x="208"/>
        <item x="83"/>
        <item x="272"/>
        <item x="62"/>
        <item x="73"/>
        <item x="65"/>
        <item x="93"/>
        <item x="12"/>
        <item x="184"/>
        <item x="43"/>
        <item x="215"/>
        <item x="103"/>
        <item x="59"/>
        <item x="107"/>
        <item x="170"/>
        <item x="222"/>
        <item x="87"/>
        <item x="186"/>
        <item x="250"/>
        <item x="68"/>
        <item x="57"/>
        <item x="139"/>
        <item x="271"/>
        <item x="71"/>
        <item x="0"/>
        <item x="29"/>
        <item x="229"/>
        <item x="181"/>
        <item x="206"/>
        <item x="212"/>
        <item x="84"/>
        <item x="246"/>
        <item x="310"/>
        <item x="64"/>
        <item x="265"/>
        <item x="239"/>
        <item x="234"/>
        <item x="108"/>
        <item x="261"/>
        <item x="112"/>
        <item x="38"/>
        <item x="245"/>
        <item x="207"/>
        <item x="42"/>
        <item x="4"/>
        <item x="50"/>
        <item x="275"/>
        <item x="134"/>
        <item x="60"/>
        <item x="20"/>
        <item x="82"/>
        <item x="123"/>
        <item x="26"/>
        <item x="301"/>
        <item x="36"/>
        <item x="110"/>
        <item x="223"/>
        <item x="178"/>
        <item x="233"/>
        <item x="120"/>
        <item x="1"/>
        <item x="135"/>
        <item t="default"/>
      </items>
    </pivotField>
    <pivotField showAll="0"/>
    <pivotField showAll="0">
      <items count="11">
        <item x="2"/>
        <item h="1" x="8"/>
        <item x="0"/>
        <item x="6"/>
        <item x="3"/>
        <item x="1"/>
        <item x="7"/>
        <item x="5"/>
        <item x="9"/>
        <item x="4"/>
        <item t="default"/>
      </items>
    </pivotField>
    <pivotField showAll="0"/>
    <pivotField showAll="0">
      <items count="8">
        <item x="2"/>
        <item h="1" x="6"/>
        <item x="3"/>
        <item h="1" x="5"/>
        <item h="1" x="0"/>
        <item h="1" x="4"/>
        <item h="1" x="1"/>
        <item t="default"/>
      </items>
    </pivotField>
    <pivotField showAll="0"/>
    <pivotField numFmtId="166" showAll="0"/>
    <pivotField numFmtId="166" showAll="0"/>
    <pivotField numFmtId="166" showAll="0"/>
    <pivotField dataField="1" numFmtId="166" showAll="0"/>
    <pivotField numFmtId="166" showAll="0"/>
    <pivotField showAll="0">
      <items count="6">
        <item x="4"/>
        <item x="1"/>
        <item h="1" x="3"/>
        <item x="0"/>
        <item x="2"/>
        <item t="default"/>
      </items>
    </pivotField>
    <pivotField showAll="0"/>
    <pivotField axis="axisRow" showAll="0">
      <items count="11">
        <item x="5"/>
        <item x="7"/>
        <item x="8"/>
        <item x="6"/>
        <item x="4"/>
        <item x="9"/>
        <item x="0"/>
        <item x="3"/>
        <item x="1"/>
        <item x="2"/>
        <item t="default"/>
      </items>
    </pivotField>
    <pivotField showAll="0"/>
    <pivotField showAll="0" defaultSubtotal="0">
      <items count="14">
        <item h="1" x="0"/>
        <item x="1"/>
        <item x="2"/>
        <item x="3"/>
        <item h="1" x="4"/>
        <item h="1" x="5"/>
        <item x="6"/>
        <item h="1" x="7"/>
        <item h="1" x="8"/>
        <item h="1" x="9"/>
        <item h="1" x="10"/>
        <item h="1" x="11"/>
        <item h="1" x="12"/>
        <item h="1" x="13"/>
      </items>
    </pivotField>
  </pivotFields>
  <rowFields count="1">
    <field x="14"/>
  </rowFields>
  <rowItems count="11">
    <i>
      <x/>
    </i>
    <i>
      <x v="1"/>
    </i>
    <i>
      <x v="2"/>
    </i>
    <i>
      <x v="3"/>
    </i>
    <i>
      <x v="4"/>
    </i>
    <i>
      <x v="5"/>
    </i>
    <i>
      <x v="6"/>
    </i>
    <i>
      <x v="7"/>
    </i>
    <i>
      <x v="8"/>
    </i>
    <i>
      <x v="9"/>
    </i>
    <i t="grand">
      <x/>
    </i>
  </rowItems>
  <colItems count="1">
    <i/>
  </colItems>
  <dataFields count="1">
    <dataField name="Sum of Total_Sales" fld="10" baseField="0" baseItem="0" numFmtId="169"/>
  </dataFields>
  <formats count="2">
    <format dxfId="122">
      <pivotArea outline="0" collapsedLevelsAreSubtotals="1" fieldPosition="0"/>
    </format>
    <format dxfId="12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93559E-3753-4264-8D0E-3FB294ED7013}" name="PivotTable12"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1:K10" firstHeaderRow="1" firstDataRow="1" firstDataCol="1"/>
  <pivotFields count="17">
    <pivotField showAll="0"/>
    <pivotField numFmtId="14" showAll="0">
      <items count="316">
        <item x="196"/>
        <item x="91"/>
        <item x="284"/>
        <item x="256"/>
        <item x="15"/>
        <item x="40"/>
        <item x="9"/>
        <item x="116"/>
        <item x="266"/>
        <item x="217"/>
        <item x="138"/>
        <item x="309"/>
        <item x="34"/>
        <item x="137"/>
        <item x="105"/>
        <item x="162"/>
        <item x="47"/>
        <item x="198"/>
        <item x="199"/>
        <item x="37"/>
        <item x="280"/>
        <item x="130"/>
        <item x="238"/>
        <item x="126"/>
        <item x="279"/>
        <item x="218"/>
        <item x="113"/>
        <item x="140"/>
        <item x="314"/>
        <item x="220"/>
        <item x="52"/>
        <item x="75"/>
        <item x="312"/>
        <item x="274"/>
        <item x="124"/>
        <item x="177"/>
        <item x="273"/>
        <item x="169"/>
        <item x="248"/>
        <item x="160"/>
        <item x="69"/>
        <item x="22"/>
        <item x="253"/>
        <item x="67"/>
        <item x="13"/>
        <item x="174"/>
        <item x="297"/>
        <item x="133"/>
        <item x="51"/>
        <item x="188"/>
        <item x="111"/>
        <item x="136"/>
        <item x="11"/>
        <item x="270"/>
        <item x="55"/>
        <item x="296"/>
        <item x="231"/>
        <item x="276"/>
        <item x="313"/>
        <item x="254"/>
        <item x="154"/>
        <item x="259"/>
        <item x="213"/>
        <item x="307"/>
        <item x="28"/>
        <item x="114"/>
        <item x="3"/>
        <item x="76"/>
        <item x="142"/>
        <item x="304"/>
        <item x="185"/>
        <item x="66"/>
        <item x="132"/>
        <item x="21"/>
        <item x="306"/>
        <item x="182"/>
        <item x="267"/>
        <item x="216"/>
        <item x="48"/>
        <item x="33"/>
        <item x="242"/>
        <item x="100"/>
        <item x="293"/>
        <item x="211"/>
        <item x="118"/>
        <item x="214"/>
        <item x="287"/>
        <item x="166"/>
        <item x="252"/>
        <item x="53"/>
        <item x="221"/>
        <item x="283"/>
        <item x="303"/>
        <item x="23"/>
        <item x="200"/>
        <item x="300"/>
        <item x="101"/>
        <item x="117"/>
        <item x="147"/>
        <item x="165"/>
        <item x="58"/>
        <item x="16"/>
        <item x="41"/>
        <item x="19"/>
        <item x="189"/>
        <item x="102"/>
        <item x="291"/>
        <item x="146"/>
        <item x="78"/>
        <item x="159"/>
        <item x="195"/>
        <item x="152"/>
        <item x="89"/>
        <item x="106"/>
        <item x="27"/>
        <item x="122"/>
        <item x="194"/>
        <item x="156"/>
        <item x="61"/>
        <item x="249"/>
        <item x="6"/>
        <item x="205"/>
        <item x="158"/>
        <item x="97"/>
        <item x="35"/>
        <item x="63"/>
        <item x="219"/>
        <item x="85"/>
        <item x="141"/>
        <item x="258"/>
        <item x="98"/>
        <item x="129"/>
        <item x="285"/>
        <item x="155"/>
        <item x="119"/>
        <item x="232"/>
        <item x="235"/>
        <item x="39"/>
        <item x="125"/>
        <item x="148"/>
        <item x="269"/>
        <item x="161"/>
        <item x="228"/>
        <item x="209"/>
        <item x="295"/>
        <item x="299"/>
        <item x="255"/>
        <item x="192"/>
        <item x="260"/>
        <item x="302"/>
        <item x="230"/>
        <item x="92"/>
        <item x="167"/>
        <item x="263"/>
        <item x="104"/>
        <item x="289"/>
        <item x="131"/>
        <item x="262"/>
        <item x="56"/>
        <item x="236"/>
        <item x="24"/>
        <item x="8"/>
        <item x="305"/>
        <item x="197"/>
        <item x="176"/>
        <item x="153"/>
        <item x="179"/>
        <item x="143"/>
        <item x="109"/>
        <item x="247"/>
        <item x="144"/>
        <item x="286"/>
        <item x="70"/>
        <item x="311"/>
        <item x="277"/>
        <item x="173"/>
        <item x="25"/>
        <item x="288"/>
        <item x="128"/>
        <item x="17"/>
        <item x="79"/>
        <item x="164"/>
        <item x="210"/>
        <item x="150"/>
        <item x="224"/>
        <item x="121"/>
        <item x="204"/>
        <item x="30"/>
        <item x="251"/>
        <item x="168"/>
        <item x="191"/>
        <item x="171"/>
        <item x="183"/>
        <item x="290"/>
        <item x="94"/>
        <item x="49"/>
        <item x="282"/>
        <item x="240"/>
        <item x="294"/>
        <item x="193"/>
        <item x="225"/>
        <item x="278"/>
        <item x="77"/>
        <item x="81"/>
        <item x="241"/>
        <item x="237"/>
        <item x="172"/>
        <item x="298"/>
        <item x="227"/>
        <item x="54"/>
        <item x="180"/>
        <item x="268"/>
        <item x="163"/>
        <item x="74"/>
        <item x="145"/>
        <item x="88"/>
        <item x="95"/>
        <item x="226"/>
        <item x="264"/>
        <item x="31"/>
        <item x="190"/>
        <item x="203"/>
        <item x="115"/>
        <item x="281"/>
        <item x="257"/>
        <item x="32"/>
        <item x="96"/>
        <item x="5"/>
        <item x="292"/>
        <item x="45"/>
        <item x="175"/>
        <item x="308"/>
        <item x="151"/>
        <item x="10"/>
        <item x="202"/>
        <item x="2"/>
        <item x="127"/>
        <item x="86"/>
        <item x="99"/>
        <item x="187"/>
        <item x="243"/>
        <item x="80"/>
        <item x="14"/>
        <item x="244"/>
        <item x="18"/>
        <item x="46"/>
        <item x="72"/>
        <item x="149"/>
        <item x="201"/>
        <item x="90"/>
        <item x="157"/>
        <item x="7"/>
        <item x="44"/>
        <item x="208"/>
        <item x="83"/>
        <item x="272"/>
        <item x="62"/>
        <item x="73"/>
        <item x="65"/>
        <item x="93"/>
        <item x="12"/>
        <item x="184"/>
        <item x="43"/>
        <item x="215"/>
        <item x="103"/>
        <item x="59"/>
        <item x="107"/>
        <item x="170"/>
        <item x="222"/>
        <item x="87"/>
        <item x="186"/>
        <item x="250"/>
        <item x="68"/>
        <item x="57"/>
        <item x="139"/>
        <item x="271"/>
        <item x="71"/>
        <item x="0"/>
        <item x="29"/>
        <item x="229"/>
        <item x="181"/>
        <item x="206"/>
        <item x="212"/>
        <item x="84"/>
        <item x="246"/>
        <item x="310"/>
        <item x="64"/>
        <item x="265"/>
        <item x="239"/>
        <item x="234"/>
        <item x="108"/>
        <item x="261"/>
        <item x="112"/>
        <item x="38"/>
        <item x="245"/>
        <item x="207"/>
        <item x="42"/>
        <item x="4"/>
        <item x="50"/>
        <item x="275"/>
        <item x="134"/>
        <item x="60"/>
        <item x="20"/>
        <item x="82"/>
        <item x="123"/>
        <item x="26"/>
        <item x="301"/>
        <item x="36"/>
        <item x="110"/>
        <item x="223"/>
        <item x="178"/>
        <item x="233"/>
        <item x="120"/>
        <item x="1"/>
        <item x="135"/>
        <item t="default"/>
      </items>
    </pivotField>
    <pivotField showAll="0"/>
    <pivotField showAll="0">
      <items count="11">
        <item x="2"/>
        <item h="1" x="8"/>
        <item x="0"/>
        <item x="6"/>
        <item x="3"/>
        <item x="1"/>
        <item x="7"/>
        <item x="5"/>
        <item x="9"/>
        <item x="4"/>
        <item t="default"/>
      </items>
    </pivotField>
    <pivotField axis="axisRow" showAll="0" measureFilter="1" sortType="descending">
      <items count="21">
        <item x="7"/>
        <item x="9"/>
        <item x="2"/>
        <item x="3"/>
        <item x="0"/>
        <item x="5"/>
        <item x="14"/>
        <item x="10"/>
        <item x="19"/>
        <item x="13"/>
        <item x="6"/>
        <item x="16"/>
        <item x="4"/>
        <item x="12"/>
        <item x="1"/>
        <item x="18"/>
        <item x="8"/>
        <item x="11"/>
        <item x="15"/>
        <item x="17"/>
        <item t="default"/>
      </items>
      <autoSortScope>
        <pivotArea dataOnly="0" outline="0" fieldPosition="0">
          <references count="1">
            <reference field="4294967294" count="1" selected="0">
              <x v="0"/>
            </reference>
          </references>
        </pivotArea>
      </autoSortScope>
    </pivotField>
    <pivotField showAll="0">
      <items count="8">
        <item x="2"/>
        <item h="1" x="6"/>
        <item x="3"/>
        <item h="1" x="5"/>
        <item h="1" x="0"/>
        <item h="1" x="4"/>
        <item h="1" x="1"/>
        <item t="default"/>
      </items>
    </pivotField>
    <pivotField showAll="0"/>
    <pivotField numFmtId="166" showAll="0"/>
    <pivotField numFmtId="166" showAll="0"/>
    <pivotField numFmtId="166" showAll="0"/>
    <pivotField dataField="1" numFmtId="166" showAll="0"/>
    <pivotField numFmtId="166" showAll="0"/>
    <pivotField showAll="0">
      <items count="6">
        <item x="4"/>
        <item x="1"/>
        <item h="1" x="3"/>
        <item x="0"/>
        <item x="2"/>
        <item t="default"/>
      </items>
    </pivotField>
    <pivotField showAll="0"/>
    <pivotField showAll="0"/>
    <pivotField showAll="0"/>
    <pivotField showAll="0" defaultSubtotal="0">
      <items count="14">
        <item h="1" x="0"/>
        <item x="1"/>
        <item x="2"/>
        <item x="3"/>
        <item h="1" x="4"/>
        <item h="1" x="5"/>
        <item x="6"/>
        <item h="1" x="7"/>
        <item h="1" x="8"/>
        <item h="1" x="9"/>
        <item h="1" x="10"/>
        <item h="1" x="11"/>
        <item h="1" x="12"/>
        <item h="1" x="13"/>
      </items>
    </pivotField>
  </pivotFields>
  <rowFields count="1">
    <field x="4"/>
  </rowFields>
  <rowItems count="9">
    <i>
      <x/>
    </i>
    <i>
      <x v="17"/>
    </i>
    <i>
      <x v="18"/>
    </i>
    <i>
      <x v="2"/>
    </i>
    <i>
      <x v="3"/>
    </i>
    <i>
      <x v="9"/>
    </i>
    <i>
      <x v="11"/>
    </i>
    <i>
      <x v="6"/>
    </i>
    <i t="grand">
      <x/>
    </i>
  </rowItems>
  <colItems count="1">
    <i/>
  </colItems>
  <dataFields count="1">
    <dataField name="Sum of Total_Sales" fld="10" baseField="0" baseItem="0" numFmtId="169"/>
  </dataFields>
  <formats count="1">
    <format dxfId="12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217DEF-D1C2-4A89-BD91-35CC17D4E719}" name="PivotTable1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14:H19" firstHeaderRow="1" firstDataRow="1" firstDataCol="1"/>
  <pivotFields count="17">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4" showAll="0">
      <items count="316">
        <item x="196"/>
        <item x="91"/>
        <item x="284"/>
        <item x="256"/>
        <item x="15"/>
        <item x="40"/>
        <item x="9"/>
        <item x="116"/>
        <item x="266"/>
        <item x="217"/>
        <item x="138"/>
        <item x="309"/>
        <item x="34"/>
        <item x="137"/>
        <item x="105"/>
        <item x="162"/>
        <item x="47"/>
        <item x="198"/>
        <item x="199"/>
        <item x="37"/>
        <item x="280"/>
        <item x="130"/>
        <item x="238"/>
        <item x="126"/>
        <item x="279"/>
        <item x="218"/>
        <item x="113"/>
        <item x="140"/>
        <item x="314"/>
        <item x="220"/>
        <item x="52"/>
        <item x="75"/>
        <item x="312"/>
        <item x="274"/>
        <item x="124"/>
        <item x="177"/>
        <item x="273"/>
        <item x="169"/>
        <item x="248"/>
        <item x="160"/>
        <item x="69"/>
        <item x="22"/>
        <item x="253"/>
        <item x="67"/>
        <item x="13"/>
        <item x="174"/>
        <item x="297"/>
        <item x="133"/>
        <item x="51"/>
        <item x="188"/>
        <item x="111"/>
        <item x="136"/>
        <item x="11"/>
        <item x="270"/>
        <item x="55"/>
        <item x="296"/>
        <item x="231"/>
        <item x="276"/>
        <item x="313"/>
        <item x="254"/>
        <item x="154"/>
        <item x="259"/>
        <item x="213"/>
        <item x="307"/>
        <item x="28"/>
        <item x="114"/>
        <item x="3"/>
        <item x="76"/>
        <item x="142"/>
        <item x="304"/>
        <item x="185"/>
        <item x="66"/>
        <item x="132"/>
        <item x="21"/>
        <item x="306"/>
        <item x="182"/>
        <item x="267"/>
        <item x="216"/>
        <item x="48"/>
        <item x="33"/>
        <item x="242"/>
        <item x="100"/>
        <item x="293"/>
        <item x="211"/>
        <item x="118"/>
        <item x="214"/>
        <item x="287"/>
        <item x="166"/>
        <item x="252"/>
        <item x="53"/>
        <item x="221"/>
        <item x="283"/>
        <item x="303"/>
        <item x="23"/>
        <item x="200"/>
        <item x="300"/>
        <item x="101"/>
        <item x="117"/>
        <item x="147"/>
        <item x="165"/>
        <item x="58"/>
        <item x="16"/>
        <item x="41"/>
        <item x="19"/>
        <item x="189"/>
        <item x="102"/>
        <item x="291"/>
        <item x="146"/>
        <item x="78"/>
        <item x="159"/>
        <item x="195"/>
        <item x="152"/>
        <item x="89"/>
        <item x="106"/>
        <item x="27"/>
        <item x="122"/>
        <item x="194"/>
        <item x="156"/>
        <item x="61"/>
        <item x="249"/>
        <item x="6"/>
        <item x="205"/>
        <item x="158"/>
        <item x="97"/>
        <item x="35"/>
        <item x="63"/>
        <item x="219"/>
        <item x="85"/>
        <item x="141"/>
        <item x="258"/>
        <item x="98"/>
        <item x="129"/>
        <item x="285"/>
        <item x="155"/>
        <item x="119"/>
        <item x="232"/>
        <item x="235"/>
        <item x="39"/>
        <item x="125"/>
        <item x="148"/>
        <item x="269"/>
        <item x="161"/>
        <item x="228"/>
        <item x="209"/>
        <item x="295"/>
        <item x="299"/>
        <item x="255"/>
        <item x="192"/>
        <item x="260"/>
        <item x="302"/>
        <item x="230"/>
        <item x="92"/>
        <item x="167"/>
        <item x="263"/>
        <item x="104"/>
        <item x="289"/>
        <item x="131"/>
        <item x="262"/>
        <item x="56"/>
        <item x="236"/>
        <item x="24"/>
        <item x="8"/>
        <item x="305"/>
        <item x="197"/>
        <item x="176"/>
        <item x="153"/>
        <item x="179"/>
        <item x="143"/>
        <item x="109"/>
        <item x="247"/>
        <item x="144"/>
        <item x="286"/>
        <item x="70"/>
        <item x="311"/>
        <item x="277"/>
        <item x="173"/>
        <item x="25"/>
        <item x="288"/>
        <item x="128"/>
        <item x="17"/>
        <item x="79"/>
        <item x="164"/>
        <item x="210"/>
        <item x="150"/>
        <item x="224"/>
        <item x="121"/>
        <item x="204"/>
        <item x="30"/>
        <item x="251"/>
        <item x="168"/>
        <item x="191"/>
        <item x="171"/>
        <item x="183"/>
        <item x="290"/>
        <item x="94"/>
        <item x="49"/>
        <item x="282"/>
        <item x="240"/>
        <item x="294"/>
        <item x="193"/>
        <item x="225"/>
        <item x="278"/>
        <item x="77"/>
        <item x="81"/>
        <item x="241"/>
        <item x="237"/>
        <item x="172"/>
        <item x="298"/>
        <item x="227"/>
        <item x="54"/>
        <item x="180"/>
        <item x="268"/>
        <item x="163"/>
        <item x="74"/>
        <item x="145"/>
        <item x="88"/>
        <item x="95"/>
        <item x="226"/>
        <item x="264"/>
        <item x="31"/>
        <item x="190"/>
        <item x="203"/>
        <item x="115"/>
        <item x="281"/>
        <item x="257"/>
        <item x="32"/>
        <item x="96"/>
        <item x="5"/>
        <item x="292"/>
        <item x="45"/>
        <item x="175"/>
        <item x="308"/>
        <item x="151"/>
        <item x="10"/>
        <item x="202"/>
        <item x="2"/>
        <item x="127"/>
        <item x="86"/>
        <item x="99"/>
        <item x="187"/>
        <item x="243"/>
        <item x="80"/>
        <item x="14"/>
        <item x="244"/>
        <item x="18"/>
        <item x="46"/>
        <item x="72"/>
        <item x="149"/>
        <item x="201"/>
        <item x="90"/>
        <item x="157"/>
        <item x="7"/>
        <item x="44"/>
        <item x="208"/>
        <item x="83"/>
        <item x="272"/>
        <item x="62"/>
        <item x="73"/>
        <item x="65"/>
        <item x="93"/>
        <item x="12"/>
        <item x="184"/>
        <item x="43"/>
        <item x="215"/>
        <item x="103"/>
        <item x="59"/>
        <item x="107"/>
        <item x="170"/>
        <item x="222"/>
        <item x="87"/>
        <item x="186"/>
        <item x="250"/>
        <item x="68"/>
        <item x="57"/>
        <item x="139"/>
        <item x="271"/>
        <item x="71"/>
        <item x="0"/>
        <item x="29"/>
        <item x="229"/>
        <item x="181"/>
        <item x="206"/>
        <item x="212"/>
        <item x="84"/>
        <item x="246"/>
        <item x="310"/>
        <item x="64"/>
        <item x="265"/>
        <item x="239"/>
        <item x="234"/>
        <item x="108"/>
        <item x="261"/>
        <item x="112"/>
        <item x="38"/>
        <item x="245"/>
        <item x="207"/>
        <item x="42"/>
        <item x="4"/>
        <item x="50"/>
        <item x="275"/>
        <item x="134"/>
        <item x="60"/>
        <item x="20"/>
        <item x="82"/>
        <item x="123"/>
        <item x="26"/>
        <item x="301"/>
        <item x="36"/>
        <item x="110"/>
        <item x="223"/>
        <item x="178"/>
        <item x="233"/>
        <item x="120"/>
        <item x="1"/>
        <item x="135"/>
        <item t="default"/>
      </items>
    </pivotField>
    <pivotField showAll="0"/>
    <pivotField showAll="0">
      <items count="11">
        <item x="2"/>
        <item h="1" x="8"/>
        <item x="0"/>
        <item x="6"/>
        <item x="3"/>
        <item x="1"/>
        <item x="7"/>
        <item x="5"/>
        <item x="9"/>
        <item x="4"/>
        <item t="default"/>
      </items>
    </pivotField>
    <pivotField showAll="0"/>
    <pivotField showAll="0">
      <items count="8">
        <item x="2"/>
        <item h="1" x="6"/>
        <item x="3"/>
        <item h="1" x="5"/>
        <item h="1" x="0"/>
        <item h="1" x="4"/>
        <item h="1" x="1"/>
        <item t="default"/>
      </items>
    </pivotField>
    <pivotField showAll="0"/>
    <pivotField numFmtId="166" showAll="0"/>
    <pivotField numFmtId="166" showAll="0"/>
    <pivotField numFmtId="166" showAll="0"/>
    <pivotField numFmtId="166" showAll="0"/>
    <pivotField numFmtId="166" showAll="0"/>
    <pivotField axis="axisRow" showAll="0">
      <items count="6">
        <item x="4"/>
        <item x="1"/>
        <item h="1" x="3"/>
        <item x="0"/>
        <item x="2"/>
        <item t="default"/>
      </items>
    </pivotField>
    <pivotField showAll="0"/>
    <pivotField showAll="0"/>
    <pivotField showAll="0"/>
    <pivotField showAll="0" defaultSubtotal="0">
      <items count="14">
        <item h="1" x="0"/>
        <item x="1"/>
        <item x="2"/>
        <item x="3"/>
        <item h="1" x="4"/>
        <item h="1" x="5"/>
        <item x="6"/>
        <item h="1" x="7"/>
        <item h="1" x="8"/>
        <item h="1" x="9"/>
        <item h="1" x="10"/>
        <item h="1" x="11"/>
        <item h="1" x="12"/>
        <item h="1" x="13"/>
      </items>
    </pivotField>
  </pivotFields>
  <rowFields count="1">
    <field x="12"/>
  </rowFields>
  <rowItems count="5">
    <i>
      <x/>
    </i>
    <i>
      <x v="1"/>
    </i>
    <i>
      <x v="3"/>
    </i>
    <i>
      <x v="4"/>
    </i>
    <i t="grand">
      <x/>
    </i>
  </rowItems>
  <colItems count="1">
    <i/>
  </colItems>
  <dataFields count="1">
    <dataField name="Count of Order_ID" fld="0" subtotal="count" baseField="0" baseItem="0"/>
  </dataFields>
  <formats count="1">
    <format dxfId="130">
      <pivotArea collapsedLevelsAreSubtotals="1" fieldPosition="0">
        <references count="1">
          <reference field="12" count="1">
            <x v="2"/>
          </reference>
        </references>
      </pivotArea>
    </format>
  </formats>
  <chartFormats count="6">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2" count="1" selected="0">
            <x v="0"/>
          </reference>
        </references>
      </pivotArea>
    </chartFormat>
    <chartFormat chart="6" format="9">
      <pivotArea type="data" outline="0" fieldPosition="0">
        <references count="2">
          <reference field="4294967294" count="1" selected="0">
            <x v="0"/>
          </reference>
          <reference field="12" count="1" selected="0">
            <x v="1"/>
          </reference>
        </references>
      </pivotArea>
    </chartFormat>
    <chartFormat chart="6" format="10">
      <pivotArea type="data" outline="0" fieldPosition="0">
        <references count="2">
          <reference field="4294967294" count="1" selected="0">
            <x v="0"/>
          </reference>
          <reference field="12" count="1" selected="0">
            <x v="2"/>
          </reference>
        </references>
      </pivotArea>
    </chartFormat>
    <chartFormat chart="6" format="11">
      <pivotArea type="data" outline="0" fieldPosition="0">
        <references count="2">
          <reference field="4294967294" count="1" selected="0">
            <x v="0"/>
          </reference>
          <reference field="12" count="1" selected="0">
            <x v="3"/>
          </reference>
        </references>
      </pivotArea>
    </chartFormat>
    <chartFormat chart="6" format="12">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2611EC-2DA7-4ACD-B74C-CFB621C03960}" name="PivotTable10"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H11" firstHeaderRow="1" firstDataRow="1" firstDataCol="1"/>
  <pivotFields count="17">
    <pivotField showAll="0"/>
    <pivotField numFmtId="14" showAll="0">
      <items count="316">
        <item x="196"/>
        <item x="91"/>
        <item x="284"/>
        <item x="256"/>
        <item x="15"/>
        <item x="40"/>
        <item x="9"/>
        <item x="116"/>
        <item x="266"/>
        <item x="217"/>
        <item x="138"/>
        <item x="309"/>
        <item x="34"/>
        <item x="137"/>
        <item x="105"/>
        <item x="162"/>
        <item x="47"/>
        <item x="198"/>
        <item x="199"/>
        <item x="37"/>
        <item x="280"/>
        <item x="130"/>
        <item x="238"/>
        <item x="126"/>
        <item x="279"/>
        <item x="218"/>
        <item x="113"/>
        <item x="140"/>
        <item x="314"/>
        <item x="220"/>
        <item x="52"/>
        <item x="75"/>
        <item x="312"/>
        <item x="274"/>
        <item x="124"/>
        <item x="177"/>
        <item x="273"/>
        <item x="169"/>
        <item x="248"/>
        <item x="160"/>
        <item x="69"/>
        <item x="22"/>
        <item x="253"/>
        <item x="67"/>
        <item x="13"/>
        <item x="174"/>
        <item x="297"/>
        <item x="133"/>
        <item x="51"/>
        <item x="188"/>
        <item x="111"/>
        <item x="136"/>
        <item x="11"/>
        <item x="270"/>
        <item x="55"/>
        <item x="296"/>
        <item x="231"/>
        <item x="276"/>
        <item x="313"/>
        <item x="254"/>
        <item x="154"/>
        <item x="259"/>
        <item x="213"/>
        <item x="307"/>
        <item x="28"/>
        <item x="114"/>
        <item x="3"/>
        <item x="76"/>
        <item x="142"/>
        <item x="304"/>
        <item x="185"/>
        <item x="66"/>
        <item x="132"/>
        <item x="21"/>
        <item x="306"/>
        <item x="182"/>
        <item x="267"/>
        <item x="216"/>
        <item x="48"/>
        <item x="33"/>
        <item x="242"/>
        <item x="100"/>
        <item x="293"/>
        <item x="211"/>
        <item x="118"/>
        <item x="214"/>
        <item x="287"/>
        <item x="166"/>
        <item x="252"/>
        <item x="53"/>
        <item x="221"/>
        <item x="283"/>
        <item x="303"/>
        <item x="23"/>
        <item x="200"/>
        <item x="300"/>
        <item x="101"/>
        <item x="117"/>
        <item x="147"/>
        <item x="165"/>
        <item x="58"/>
        <item x="16"/>
        <item x="41"/>
        <item x="19"/>
        <item x="189"/>
        <item x="102"/>
        <item x="291"/>
        <item x="146"/>
        <item x="78"/>
        <item x="159"/>
        <item x="195"/>
        <item x="152"/>
        <item x="89"/>
        <item x="106"/>
        <item x="27"/>
        <item x="122"/>
        <item x="194"/>
        <item x="156"/>
        <item x="61"/>
        <item x="249"/>
        <item x="6"/>
        <item x="205"/>
        <item x="158"/>
        <item x="97"/>
        <item x="35"/>
        <item x="63"/>
        <item x="219"/>
        <item x="85"/>
        <item x="141"/>
        <item x="258"/>
        <item x="98"/>
        <item x="129"/>
        <item x="285"/>
        <item x="155"/>
        <item x="119"/>
        <item x="232"/>
        <item x="235"/>
        <item x="39"/>
        <item x="125"/>
        <item x="148"/>
        <item x="269"/>
        <item x="161"/>
        <item x="228"/>
        <item x="209"/>
        <item x="295"/>
        <item x="299"/>
        <item x="255"/>
        <item x="192"/>
        <item x="260"/>
        <item x="302"/>
        <item x="230"/>
        <item x="92"/>
        <item x="167"/>
        <item x="263"/>
        <item x="104"/>
        <item x="289"/>
        <item x="131"/>
        <item x="262"/>
        <item x="56"/>
        <item x="236"/>
        <item x="24"/>
        <item x="8"/>
        <item x="305"/>
        <item x="197"/>
        <item x="176"/>
        <item x="153"/>
        <item x="179"/>
        <item x="143"/>
        <item x="109"/>
        <item x="247"/>
        <item x="144"/>
        <item x="286"/>
        <item x="70"/>
        <item x="311"/>
        <item x="277"/>
        <item x="173"/>
        <item x="25"/>
        <item x="288"/>
        <item x="128"/>
        <item x="17"/>
        <item x="79"/>
        <item x="164"/>
        <item x="210"/>
        <item x="150"/>
        <item x="224"/>
        <item x="121"/>
        <item x="204"/>
        <item x="30"/>
        <item x="251"/>
        <item x="168"/>
        <item x="191"/>
        <item x="171"/>
        <item x="183"/>
        <item x="290"/>
        <item x="94"/>
        <item x="49"/>
        <item x="282"/>
        <item x="240"/>
        <item x="294"/>
        <item x="193"/>
        <item x="225"/>
        <item x="278"/>
        <item x="77"/>
        <item x="81"/>
        <item x="241"/>
        <item x="237"/>
        <item x="172"/>
        <item x="298"/>
        <item x="227"/>
        <item x="54"/>
        <item x="180"/>
        <item x="268"/>
        <item x="163"/>
        <item x="74"/>
        <item x="145"/>
        <item x="88"/>
        <item x="95"/>
        <item x="226"/>
        <item x="264"/>
        <item x="31"/>
        <item x="190"/>
        <item x="203"/>
        <item x="115"/>
        <item x="281"/>
        <item x="257"/>
        <item x="32"/>
        <item x="96"/>
        <item x="5"/>
        <item x="292"/>
        <item x="45"/>
        <item x="175"/>
        <item x="308"/>
        <item x="151"/>
        <item x="10"/>
        <item x="202"/>
        <item x="2"/>
        <item x="127"/>
        <item x="86"/>
        <item x="99"/>
        <item x="187"/>
        <item x="243"/>
        <item x="80"/>
        <item x="14"/>
        <item x="244"/>
        <item x="18"/>
        <item x="46"/>
        <item x="72"/>
        <item x="149"/>
        <item x="201"/>
        <item x="90"/>
        <item x="157"/>
        <item x="7"/>
        <item x="44"/>
        <item x="208"/>
        <item x="83"/>
        <item x="272"/>
        <item x="62"/>
        <item x="73"/>
        <item x="65"/>
        <item x="93"/>
        <item x="12"/>
        <item x="184"/>
        <item x="43"/>
        <item x="215"/>
        <item x="103"/>
        <item x="59"/>
        <item x="107"/>
        <item x="170"/>
        <item x="222"/>
        <item x="87"/>
        <item x="186"/>
        <item x="250"/>
        <item x="68"/>
        <item x="57"/>
        <item x="139"/>
        <item x="271"/>
        <item x="71"/>
        <item x="0"/>
        <item x="29"/>
        <item x="229"/>
        <item x="181"/>
        <item x="206"/>
        <item x="212"/>
        <item x="84"/>
        <item x="246"/>
        <item x="310"/>
        <item x="64"/>
        <item x="265"/>
        <item x="239"/>
        <item x="234"/>
        <item x="108"/>
        <item x="261"/>
        <item x="112"/>
        <item x="38"/>
        <item x="245"/>
        <item x="207"/>
        <item x="42"/>
        <item x="4"/>
        <item x="50"/>
        <item x="275"/>
        <item x="134"/>
        <item x="60"/>
        <item x="20"/>
        <item x="82"/>
        <item x="123"/>
        <item x="26"/>
        <item x="301"/>
        <item x="36"/>
        <item x="110"/>
        <item x="223"/>
        <item x="178"/>
        <item x="233"/>
        <item x="120"/>
        <item x="1"/>
        <item x="135"/>
        <item t="default"/>
      </items>
    </pivotField>
    <pivotField showAll="0"/>
    <pivotField axis="axisRow" showAll="0">
      <items count="11">
        <item x="2"/>
        <item h="1" x="8"/>
        <item x="0"/>
        <item x="6"/>
        <item x="3"/>
        <item x="1"/>
        <item x="7"/>
        <item x="5"/>
        <item x="9"/>
        <item x="4"/>
        <item t="default"/>
      </items>
    </pivotField>
    <pivotField showAll="0"/>
    <pivotField showAll="0">
      <items count="8">
        <item x="2"/>
        <item h="1" x="6"/>
        <item x="3"/>
        <item h="1" x="5"/>
        <item h="1" x="0"/>
        <item h="1" x="4"/>
        <item h="1" x="1"/>
        <item t="default"/>
      </items>
    </pivotField>
    <pivotField showAll="0"/>
    <pivotField numFmtId="166" showAll="0"/>
    <pivotField numFmtId="166" showAll="0"/>
    <pivotField numFmtId="166" showAll="0"/>
    <pivotField dataField="1" numFmtId="166" showAll="0"/>
    <pivotField numFmtId="166" showAll="0"/>
    <pivotField showAll="0">
      <items count="6">
        <item x="4"/>
        <item x="1"/>
        <item h="1" x="3"/>
        <item x="0"/>
        <item x="2"/>
        <item t="default"/>
      </items>
    </pivotField>
    <pivotField showAll="0"/>
    <pivotField showAll="0"/>
    <pivotField showAll="0"/>
    <pivotField showAll="0" defaultSubtotal="0">
      <items count="14">
        <item h="1" x="0"/>
        <item x="1"/>
        <item x="2"/>
        <item x="3"/>
        <item h="1" x="4"/>
        <item h="1" x="5"/>
        <item x="6"/>
        <item h="1" x="7"/>
        <item h="1" x="8"/>
        <item h="1" x="9"/>
        <item h="1" x="10"/>
        <item h="1" x="11"/>
        <item h="1" x="12"/>
        <item h="1" x="13"/>
      </items>
    </pivotField>
  </pivotFields>
  <rowFields count="1">
    <field x="3"/>
  </rowFields>
  <rowItems count="10">
    <i>
      <x/>
    </i>
    <i>
      <x v="2"/>
    </i>
    <i>
      <x v="3"/>
    </i>
    <i>
      <x v="4"/>
    </i>
    <i>
      <x v="5"/>
    </i>
    <i>
      <x v="6"/>
    </i>
    <i>
      <x v="7"/>
    </i>
    <i>
      <x v="8"/>
    </i>
    <i>
      <x v="9"/>
    </i>
    <i t="grand">
      <x/>
    </i>
  </rowItems>
  <colItems count="1">
    <i/>
  </colItems>
  <dataFields count="1">
    <dataField name="Sum of Total_Sales" fld="10" baseField="0" baseItem="0" numFmtId="169"/>
  </dataFields>
  <formats count="1">
    <format dxfId="12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1CEC09-E582-4821-A90C-6C22B42C64D6}" name="PivotTable9"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2:E17" firstHeaderRow="1" firstDataRow="1" firstDataCol="1"/>
  <pivotFields count="17">
    <pivotField showAll="0"/>
    <pivotField numFmtId="14" showAll="0">
      <items count="316">
        <item x="196"/>
        <item x="91"/>
        <item x="284"/>
        <item x="256"/>
        <item x="15"/>
        <item x="40"/>
        <item x="9"/>
        <item x="116"/>
        <item x="266"/>
        <item x="217"/>
        <item x="138"/>
        <item x="309"/>
        <item x="34"/>
        <item x="137"/>
        <item x="105"/>
        <item x="162"/>
        <item x="47"/>
        <item x="198"/>
        <item x="199"/>
        <item x="37"/>
        <item x="280"/>
        <item x="130"/>
        <item x="238"/>
        <item x="126"/>
        <item x="279"/>
        <item x="218"/>
        <item x="113"/>
        <item x="140"/>
        <item x="314"/>
        <item x="220"/>
        <item x="52"/>
        <item x="75"/>
        <item x="312"/>
        <item x="274"/>
        <item x="124"/>
        <item x="177"/>
        <item x="273"/>
        <item x="169"/>
        <item x="248"/>
        <item x="160"/>
        <item x="69"/>
        <item x="22"/>
        <item x="253"/>
        <item x="67"/>
        <item x="13"/>
        <item x="174"/>
        <item x="297"/>
        <item x="133"/>
        <item x="51"/>
        <item x="188"/>
        <item x="111"/>
        <item x="136"/>
        <item x="11"/>
        <item x="270"/>
        <item x="55"/>
        <item x="296"/>
        <item x="231"/>
        <item x="276"/>
        <item x="313"/>
        <item x="254"/>
        <item x="154"/>
        <item x="259"/>
        <item x="213"/>
        <item x="307"/>
        <item x="28"/>
        <item x="114"/>
        <item x="3"/>
        <item x="76"/>
        <item x="142"/>
        <item x="304"/>
        <item x="185"/>
        <item x="66"/>
        <item x="132"/>
        <item x="21"/>
        <item x="306"/>
        <item x="182"/>
        <item x="267"/>
        <item x="216"/>
        <item x="48"/>
        <item x="33"/>
        <item x="242"/>
        <item x="100"/>
        <item x="293"/>
        <item x="211"/>
        <item x="118"/>
        <item x="214"/>
        <item x="287"/>
        <item x="166"/>
        <item x="252"/>
        <item x="53"/>
        <item x="221"/>
        <item x="283"/>
        <item x="303"/>
        <item x="23"/>
        <item x="200"/>
        <item x="300"/>
        <item x="101"/>
        <item x="117"/>
        <item x="147"/>
        <item x="165"/>
        <item x="58"/>
        <item x="16"/>
        <item x="41"/>
        <item x="19"/>
        <item x="189"/>
        <item x="102"/>
        <item x="291"/>
        <item x="146"/>
        <item x="78"/>
        <item x="159"/>
        <item x="195"/>
        <item x="152"/>
        <item x="89"/>
        <item x="106"/>
        <item x="27"/>
        <item x="122"/>
        <item x="194"/>
        <item x="156"/>
        <item x="61"/>
        <item x="249"/>
        <item x="6"/>
        <item x="205"/>
        <item x="158"/>
        <item x="97"/>
        <item x="35"/>
        <item x="63"/>
        <item x="219"/>
        <item x="85"/>
        <item x="141"/>
        <item x="258"/>
        <item x="98"/>
        <item x="129"/>
        <item x="285"/>
        <item x="155"/>
        <item x="119"/>
        <item x="232"/>
        <item x="235"/>
        <item x="39"/>
        <item x="125"/>
        <item x="148"/>
        <item x="269"/>
        <item x="161"/>
        <item x="228"/>
        <item x="209"/>
        <item x="295"/>
        <item x="299"/>
        <item x="255"/>
        <item x="192"/>
        <item x="260"/>
        <item x="302"/>
        <item x="230"/>
        <item x="92"/>
        <item x="167"/>
        <item x="263"/>
        <item x="104"/>
        <item x="289"/>
        <item x="131"/>
        <item x="262"/>
        <item x="56"/>
        <item x="236"/>
        <item x="24"/>
        <item x="8"/>
        <item x="305"/>
        <item x="197"/>
        <item x="176"/>
        <item x="153"/>
        <item x="179"/>
        <item x="143"/>
        <item x="109"/>
        <item x="247"/>
        <item x="144"/>
        <item x="286"/>
        <item x="70"/>
        <item x="311"/>
        <item x="277"/>
        <item x="173"/>
        <item x="25"/>
        <item x="288"/>
        <item x="128"/>
        <item x="17"/>
        <item x="79"/>
        <item x="164"/>
        <item x="210"/>
        <item x="150"/>
        <item x="224"/>
        <item x="121"/>
        <item x="204"/>
        <item x="30"/>
        <item x="251"/>
        <item x="168"/>
        <item x="191"/>
        <item x="171"/>
        <item x="183"/>
        <item x="290"/>
        <item x="94"/>
        <item x="49"/>
        <item x="282"/>
        <item x="240"/>
        <item x="294"/>
        <item x="193"/>
        <item x="225"/>
        <item x="278"/>
        <item x="77"/>
        <item x="81"/>
        <item x="241"/>
        <item x="237"/>
        <item x="172"/>
        <item x="298"/>
        <item x="227"/>
        <item x="54"/>
        <item x="180"/>
        <item x="268"/>
        <item x="163"/>
        <item x="74"/>
        <item x="145"/>
        <item x="88"/>
        <item x="95"/>
        <item x="226"/>
        <item x="264"/>
        <item x="31"/>
        <item x="190"/>
        <item x="203"/>
        <item x="115"/>
        <item x="281"/>
        <item x="257"/>
        <item x="32"/>
        <item x="96"/>
        <item x="5"/>
        <item x="292"/>
        <item x="45"/>
        <item x="175"/>
        <item x="308"/>
        <item x="151"/>
        <item x="10"/>
        <item x="202"/>
        <item x="2"/>
        <item x="127"/>
        <item x="86"/>
        <item x="99"/>
        <item x="187"/>
        <item x="243"/>
        <item x="80"/>
        <item x="14"/>
        <item x="244"/>
        <item x="18"/>
        <item x="46"/>
        <item x="72"/>
        <item x="149"/>
        <item x="201"/>
        <item x="90"/>
        <item x="157"/>
        <item x="7"/>
        <item x="44"/>
        <item x="208"/>
        <item x="83"/>
        <item x="272"/>
        <item x="62"/>
        <item x="73"/>
        <item x="65"/>
        <item x="93"/>
        <item x="12"/>
        <item x="184"/>
        <item x="43"/>
        <item x="215"/>
        <item x="103"/>
        <item x="59"/>
        <item x="107"/>
        <item x="170"/>
        <item x="222"/>
        <item x="87"/>
        <item x="186"/>
        <item x="250"/>
        <item x="68"/>
        <item x="57"/>
        <item x="139"/>
        <item x="271"/>
        <item x="71"/>
        <item x="0"/>
        <item x="29"/>
        <item x="229"/>
        <item x="181"/>
        <item x="206"/>
        <item x="212"/>
        <item x="84"/>
        <item x="246"/>
        <item x="310"/>
        <item x="64"/>
        <item x="265"/>
        <item x="239"/>
        <item x="234"/>
        <item x="108"/>
        <item x="261"/>
        <item x="112"/>
        <item x="38"/>
        <item x="245"/>
        <item x="207"/>
        <item x="42"/>
        <item x="4"/>
        <item x="50"/>
        <item x="275"/>
        <item x="134"/>
        <item x="60"/>
        <item x="20"/>
        <item x="82"/>
        <item x="123"/>
        <item x="26"/>
        <item x="301"/>
        <item x="36"/>
        <item x="110"/>
        <item x="223"/>
        <item x="178"/>
        <item x="233"/>
        <item x="120"/>
        <item x="1"/>
        <item x="135"/>
        <item t="default"/>
      </items>
    </pivotField>
    <pivotField showAll="0"/>
    <pivotField showAll="0">
      <items count="11">
        <item x="2"/>
        <item h="1" x="8"/>
        <item x="0"/>
        <item x="6"/>
        <item x="3"/>
        <item x="1"/>
        <item x="7"/>
        <item x="5"/>
        <item x="9"/>
        <item x="4"/>
        <item t="default"/>
      </items>
    </pivotField>
    <pivotField showAll="0"/>
    <pivotField showAll="0">
      <items count="8">
        <item x="2"/>
        <item h="1" x="6"/>
        <item x="3"/>
        <item h="1" x="5"/>
        <item h="1" x="0"/>
        <item h="1" x="4"/>
        <item h="1" x="1"/>
        <item t="default"/>
      </items>
    </pivotField>
    <pivotField showAll="0"/>
    <pivotField numFmtId="166" showAll="0"/>
    <pivotField numFmtId="166" showAll="0"/>
    <pivotField numFmtId="166" showAll="0"/>
    <pivotField dataField="1" numFmtId="166" showAll="0"/>
    <pivotField numFmtId="166" showAll="0"/>
    <pivotField showAll="0">
      <items count="6">
        <item x="4"/>
        <item x="1"/>
        <item h="1" x="3"/>
        <item x="0"/>
        <item x="2"/>
        <item t="default"/>
      </items>
    </pivotField>
    <pivotField showAll="0"/>
    <pivotField showAll="0"/>
    <pivotField showAll="0"/>
    <pivotField axis="axisRow" showAll="0">
      <items count="15">
        <item h="1" x="0"/>
        <item x="1"/>
        <item x="2"/>
        <item x="3"/>
        <item h="1" x="4"/>
        <item h="1" x="5"/>
        <item x="6"/>
        <item h="1" x="7"/>
        <item h="1" x="8"/>
        <item h="1" x="9"/>
        <item h="1" x="10"/>
        <item h="1" x="11"/>
        <item h="1" x="12"/>
        <item h="1" x="13"/>
        <item t="default"/>
      </items>
    </pivotField>
  </pivotFields>
  <rowFields count="1">
    <field x="16"/>
  </rowFields>
  <rowItems count="5">
    <i>
      <x v="1"/>
    </i>
    <i>
      <x v="2"/>
    </i>
    <i>
      <x v="3"/>
    </i>
    <i>
      <x v="6"/>
    </i>
    <i t="grand">
      <x/>
    </i>
  </rowItems>
  <colItems count="1">
    <i/>
  </colItems>
  <dataFields count="1">
    <dataField name="Sum of Total_Sales" fld="10" baseField="0" baseItem="0" numFmtId="169"/>
  </dataFields>
  <formats count="2">
    <format dxfId="127">
      <pivotArea dataOnly="0" labelOnly="1" outline="0" axis="axisValues" fieldPosition="0"/>
    </format>
    <format dxfId="12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38618BD-2547-455E-B391-A153E00484D7}" name="PivotTable8"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E4" firstHeaderRow="1" firstDataRow="1" firstDataCol="1"/>
  <pivotFields count="17">
    <pivotField showAll="0"/>
    <pivotField numFmtId="14" showAll="0">
      <items count="316">
        <item x="196"/>
        <item x="91"/>
        <item x="284"/>
        <item x="256"/>
        <item x="15"/>
        <item x="40"/>
        <item x="9"/>
        <item x="116"/>
        <item x="266"/>
        <item x="217"/>
        <item x="138"/>
        <item x="309"/>
        <item x="34"/>
        <item x="137"/>
        <item x="105"/>
        <item x="162"/>
        <item x="47"/>
        <item x="198"/>
        <item x="199"/>
        <item x="37"/>
        <item x="280"/>
        <item x="130"/>
        <item x="238"/>
        <item x="126"/>
        <item x="279"/>
        <item x="218"/>
        <item x="113"/>
        <item x="140"/>
        <item x="314"/>
        <item x="220"/>
        <item x="52"/>
        <item x="75"/>
        <item x="312"/>
        <item x="274"/>
        <item x="124"/>
        <item x="177"/>
        <item x="273"/>
        <item x="169"/>
        <item x="248"/>
        <item x="160"/>
        <item x="69"/>
        <item x="22"/>
        <item x="253"/>
        <item x="67"/>
        <item x="13"/>
        <item x="174"/>
        <item x="297"/>
        <item x="133"/>
        <item x="51"/>
        <item x="188"/>
        <item x="111"/>
        <item x="136"/>
        <item x="11"/>
        <item x="270"/>
        <item x="55"/>
        <item x="296"/>
        <item x="231"/>
        <item x="276"/>
        <item x="313"/>
        <item x="254"/>
        <item x="154"/>
        <item x="259"/>
        <item x="213"/>
        <item x="307"/>
        <item x="28"/>
        <item x="114"/>
        <item x="3"/>
        <item x="76"/>
        <item x="142"/>
        <item x="304"/>
        <item x="185"/>
        <item x="66"/>
        <item x="132"/>
        <item x="21"/>
        <item x="306"/>
        <item x="182"/>
        <item x="267"/>
        <item x="216"/>
        <item x="48"/>
        <item x="33"/>
        <item x="242"/>
        <item x="100"/>
        <item x="293"/>
        <item x="211"/>
        <item x="118"/>
        <item x="214"/>
        <item x="287"/>
        <item x="166"/>
        <item x="252"/>
        <item x="53"/>
        <item x="221"/>
        <item x="283"/>
        <item x="303"/>
        <item x="23"/>
        <item x="200"/>
        <item x="300"/>
        <item x="101"/>
        <item x="117"/>
        <item x="147"/>
        <item x="165"/>
        <item x="58"/>
        <item x="16"/>
        <item x="41"/>
        <item x="19"/>
        <item x="189"/>
        <item x="102"/>
        <item x="291"/>
        <item x="146"/>
        <item x="78"/>
        <item x="159"/>
        <item x="195"/>
        <item x="152"/>
        <item x="89"/>
        <item x="106"/>
        <item x="27"/>
        <item x="122"/>
        <item x="194"/>
        <item x="156"/>
        <item x="61"/>
        <item x="249"/>
        <item x="6"/>
        <item x="205"/>
        <item x="158"/>
        <item x="97"/>
        <item x="35"/>
        <item x="63"/>
        <item x="219"/>
        <item x="85"/>
        <item x="141"/>
        <item x="258"/>
        <item x="98"/>
        <item x="129"/>
        <item x="285"/>
        <item x="155"/>
        <item x="119"/>
        <item x="232"/>
        <item x="235"/>
        <item x="39"/>
        <item x="125"/>
        <item x="148"/>
        <item x="269"/>
        <item x="161"/>
        <item x="228"/>
        <item x="209"/>
        <item x="295"/>
        <item x="299"/>
        <item x="255"/>
        <item x="192"/>
        <item x="260"/>
        <item x="302"/>
        <item x="230"/>
        <item x="92"/>
        <item x="167"/>
        <item x="263"/>
        <item x="104"/>
        <item x="289"/>
        <item x="131"/>
        <item x="262"/>
        <item x="56"/>
        <item x="236"/>
        <item x="24"/>
        <item x="8"/>
        <item x="305"/>
        <item x="197"/>
        <item x="176"/>
        <item x="153"/>
        <item x="179"/>
        <item x="143"/>
        <item x="109"/>
        <item x="247"/>
        <item x="144"/>
        <item x="286"/>
        <item x="70"/>
        <item x="311"/>
        <item x="277"/>
        <item x="173"/>
        <item x="25"/>
        <item x="288"/>
        <item x="128"/>
        <item x="17"/>
        <item x="79"/>
        <item x="164"/>
        <item x="210"/>
        <item x="150"/>
        <item x="224"/>
        <item x="121"/>
        <item x="204"/>
        <item x="30"/>
        <item x="251"/>
        <item x="168"/>
        <item x="191"/>
        <item x="171"/>
        <item x="183"/>
        <item x="290"/>
        <item x="94"/>
        <item x="49"/>
        <item x="282"/>
        <item x="240"/>
        <item x="294"/>
        <item x="193"/>
        <item x="225"/>
        <item x="278"/>
        <item x="77"/>
        <item x="81"/>
        <item x="241"/>
        <item x="237"/>
        <item x="172"/>
        <item x="298"/>
        <item x="227"/>
        <item x="54"/>
        <item x="180"/>
        <item x="268"/>
        <item x="163"/>
        <item x="74"/>
        <item x="145"/>
        <item x="88"/>
        <item x="95"/>
        <item x="226"/>
        <item x="264"/>
        <item x="31"/>
        <item x="190"/>
        <item x="203"/>
        <item x="115"/>
        <item x="281"/>
        <item x="257"/>
        <item x="32"/>
        <item x="96"/>
        <item x="5"/>
        <item x="292"/>
        <item x="45"/>
        <item x="175"/>
        <item x="308"/>
        <item x="151"/>
        <item x="10"/>
        <item x="202"/>
        <item x="2"/>
        <item x="127"/>
        <item x="86"/>
        <item x="99"/>
        <item x="187"/>
        <item x="243"/>
        <item x="80"/>
        <item x="14"/>
        <item x="244"/>
        <item x="18"/>
        <item x="46"/>
        <item x="72"/>
        <item x="149"/>
        <item x="201"/>
        <item x="90"/>
        <item x="157"/>
        <item x="7"/>
        <item x="44"/>
        <item x="208"/>
        <item x="83"/>
        <item x="272"/>
        <item x="62"/>
        <item x="73"/>
        <item x="65"/>
        <item x="93"/>
        <item x="12"/>
        <item x="184"/>
        <item x="43"/>
        <item x="215"/>
        <item x="103"/>
        <item x="59"/>
        <item x="107"/>
        <item x="170"/>
        <item x="222"/>
        <item x="87"/>
        <item x="186"/>
        <item x="250"/>
        <item x="68"/>
        <item x="57"/>
        <item x="139"/>
        <item x="271"/>
        <item x="71"/>
        <item x="0"/>
        <item x="29"/>
        <item x="229"/>
        <item x="181"/>
        <item x="206"/>
        <item x="212"/>
        <item x="84"/>
        <item x="246"/>
        <item x="310"/>
        <item x="64"/>
        <item x="265"/>
        <item x="239"/>
        <item x="234"/>
        <item x="108"/>
        <item x="261"/>
        <item x="112"/>
        <item x="38"/>
        <item x="245"/>
        <item x="207"/>
        <item x="42"/>
        <item x="4"/>
        <item x="50"/>
        <item x="275"/>
        <item x="134"/>
        <item x="60"/>
        <item x="20"/>
        <item x="82"/>
        <item x="123"/>
        <item x="26"/>
        <item x="301"/>
        <item x="36"/>
        <item x="110"/>
        <item x="223"/>
        <item x="178"/>
        <item x="233"/>
        <item x="120"/>
        <item x="1"/>
        <item x="135"/>
        <item t="default"/>
      </items>
    </pivotField>
    <pivotField showAll="0"/>
    <pivotField showAll="0"/>
    <pivotField showAll="0"/>
    <pivotField axis="axisRow" showAll="0">
      <items count="8">
        <item x="2"/>
        <item h="1" x="6"/>
        <item x="3"/>
        <item h="1" x="5"/>
        <item h="1" x="0"/>
        <item h="1" x="4"/>
        <item h="1" x="1"/>
        <item t="default"/>
      </items>
    </pivotField>
    <pivotField showAll="0"/>
    <pivotField numFmtId="166" showAll="0"/>
    <pivotField numFmtId="166" showAll="0"/>
    <pivotField numFmtId="166" showAll="0"/>
    <pivotField dataField="1" numFmtId="166" showAll="0"/>
    <pivotField numFmtId="166" showAll="0"/>
    <pivotField showAll="0">
      <items count="6">
        <item x="4"/>
        <item x="1"/>
        <item h="1" x="3"/>
        <item x="0"/>
        <item x="2"/>
        <item t="default"/>
      </items>
    </pivotField>
    <pivotField showAll="0"/>
    <pivotField showAll="0"/>
    <pivotField showAll="0"/>
    <pivotField showAll="0">
      <items count="15">
        <item h="1" x="0"/>
        <item x="1"/>
        <item x="2"/>
        <item x="3"/>
        <item h="1" x="4"/>
        <item h="1" x="5"/>
        <item x="6"/>
        <item h="1" x="7"/>
        <item h="1" x="8"/>
        <item h="1" x="9"/>
        <item h="1" x="10"/>
        <item h="1" x="11"/>
        <item h="1" x="12"/>
        <item h="1" x="13"/>
        <item t="default"/>
      </items>
    </pivotField>
  </pivotFields>
  <rowFields count="1">
    <field x="5"/>
  </rowFields>
  <rowItems count="3">
    <i>
      <x/>
    </i>
    <i>
      <x v="2"/>
    </i>
    <i t="grand">
      <x/>
    </i>
  </rowItems>
  <colItems count="1">
    <i/>
  </colItems>
  <dataFields count="1">
    <dataField name="Sum of Total_Sales" fld="10" baseField="0" baseItem="0" numFmtId="169"/>
  </dataFields>
  <formats count="1">
    <format dxfId="129">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1A6D3F-E632-46A8-8B39-94025276C15E}" name="PivotTable7"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0" firstHeaderRow="1" firstDataRow="1" firstDataCol="1"/>
  <pivotFields count="17">
    <pivotField showAll="0"/>
    <pivotField numFmtId="14" showAll="0">
      <items count="316">
        <item x="196"/>
        <item x="91"/>
        <item x="284"/>
        <item x="256"/>
        <item x="15"/>
        <item x="40"/>
        <item x="9"/>
        <item x="116"/>
        <item x="266"/>
        <item x="217"/>
        <item x="138"/>
        <item x="309"/>
        <item x="34"/>
        <item x="137"/>
        <item x="105"/>
        <item x="162"/>
        <item x="47"/>
        <item x="198"/>
        <item x="199"/>
        <item x="37"/>
        <item x="280"/>
        <item x="130"/>
        <item x="238"/>
        <item x="126"/>
        <item x="279"/>
        <item x="218"/>
        <item x="113"/>
        <item x="140"/>
        <item x="314"/>
        <item x="220"/>
        <item x="52"/>
        <item x="75"/>
        <item x="312"/>
        <item x="274"/>
        <item x="124"/>
        <item x="177"/>
        <item x="273"/>
        <item x="169"/>
        <item x="248"/>
        <item x="160"/>
        <item x="69"/>
        <item x="22"/>
        <item x="253"/>
        <item x="67"/>
        <item x="13"/>
        <item x="174"/>
        <item x="297"/>
        <item x="133"/>
        <item x="51"/>
        <item x="188"/>
        <item x="111"/>
        <item x="136"/>
        <item x="11"/>
        <item x="270"/>
        <item x="55"/>
        <item x="296"/>
        <item x="231"/>
        <item x="276"/>
        <item x="313"/>
        <item x="254"/>
        <item x="154"/>
        <item x="259"/>
        <item x="213"/>
        <item x="307"/>
        <item x="28"/>
        <item x="114"/>
        <item x="3"/>
        <item x="76"/>
        <item x="142"/>
        <item x="304"/>
        <item x="185"/>
        <item x="66"/>
        <item x="132"/>
        <item x="21"/>
        <item x="306"/>
        <item x="182"/>
        <item x="267"/>
        <item x="216"/>
        <item x="48"/>
        <item x="33"/>
        <item x="242"/>
        <item x="100"/>
        <item x="293"/>
        <item x="211"/>
        <item x="118"/>
        <item x="214"/>
        <item x="287"/>
        <item x="166"/>
        <item x="252"/>
        <item x="53"/>
        <item x="221"/>
        <item x="283"/>
        <item x="303"/>
        <item x="23"/>
        <item x="200"/>
        <item x="300"/>
        <item x="101"/>
        <item x="117"/>
        <item x="147"/>
        <item x="165"/>
        <item x="58"/>
        <item x="16"/>
        <item x="41"/>
        <item x="19"/>
        <item x="189"/>
        <item x="102"/>
        <item x="291"/>
        <item x="146"/>
        <item x="78"/>
        <item x="159"/>
        <item x="195"/>
        <item x="152"/>
        <item x="89"/>
        <item x="106"/>
        <item x="27"/>
        <item x="122"/>
        <item x="194"/>
        <item x="156"/>
        <item x="61"/>
        <item x="249"/>
        <item x="6"/>
        <item x="205"/>
        <item x="158"/>
        <item x="97"/>
        <item x="35"/>
        <item x="63"/>
        <item x="219"/>
        <item x="85"/>
        <item x="141"/>
        <item x="258"/>
        <item x="98"/>
        <item x="129"/>
        <item x="285"/>
        <item x="155"/>
        <item x="119"/>
        <item x="232"/>
        <item x="235"/>
        <item x="39"/>
        <item x="125"/>
        <item x="148"/>
        <item x="269"/>
        <item x="161"/>
        <item x="228"/>
        <item x="209"/>
        <item x="295"/>
        <item x="299"/>
        <item x="255"/>
        <item x="192"/>
        <item x="260"/>
        <item x="302"/>
        <item x="230"/>
        <item x="92"/>
        <item x="167"/>
        <item x="263"/>
        <item x="104"/>
        <item x="289"/>
        <item x="131"/>
        <item x="262"/>
        <item x="56"/>
        <item x="236"/>
        <item x="24"/>
        <item x="8"/>
        <item x="305"/>
        <item x="197"/>
        <item x="176"/>
        <item x="153"/>
        <item x="179"/>
        <item x="143"/>
        <item x="109"/>
        <item x="247"/>
        <item x="144"/>
        <item x="286"/>
        <item x="70"/>
        <item x="311"/>
        <item x="277"/>
        <item x="173"/>
        <item x="25"/>
        <item x="288"/>
        <item x="128"/>
        <item x="17"/>
        <item x="79"/>
        <item x="164"/>
        <item x="210"/>
        <item x="150"/>
        <item x="224"/>
        <item x="121"/>
        <item x="204"/>
        <item x="30"/>
        <item x="251"/>
        <item x="168"/>
        <item x="191"/>
        <item x="171"/>
        <item x="183"/>
        <item x="290"/>
        <item x="94"/>
        <item x="49"/>
        <item x="282"/>
        <item x="240"/>
        <item x="294"/>
        <item x="193"/>
        <item x="225"/>
        <item x="278"/>
        <item x="77"/>
        <item x="81"/>
        <item x="241"/>
        <item x="237"/>
        <item x="172"/>
        <item x="298"/>
        <item x="227"/>
        <item x="54"/>
        <item x="180"/>
        <item x="268"/>
        <item x="163"/>
        <item x="74"/>
        <item x="145"/>
        <item x="88"/>
        <item x="95"/>
        <item x="226"/>
        <item x="264"/>
        <item x="31"/>
        <item x="190"/>
        <item x="203"/>
        <item x="115"/>
        <item x="281"/>
        <item x="257"/>
        <item x="32"/>
        <item x="96"/>
        <item x="5"/>
        <item x="292"/>
        <item x="45"/>
        <item x="175"/>
        <item x="308"/>
        <item x="151"/>
        <item x="10"/>
        <item x="202"/>
        <item x="2"/>
        <item x="127"/>
        <item x="86"/>
        <item x="99"/>
        <item x="187"/>
        <item x="243"/>
        <item x="80"/>
        <item x="14"/>
        <item x="244"/>
        <item x="18"/>
        <item x="46"/>
        <item x="72"/>
        <item x="149"/>
        <item x="201"/>
        <item x="90"/>
        <item x="157"/>
        <item x="7"/>
        <item x="44"/>
        <item x="208"/>
        <item x="83"/>
        <item x="272"/>
        <item x="62"/>
        <item x="73"/>
        <item x="65"/>
        <item x="93"/>
        <item x="12"/>
        <item x="184"/>
        <item x="43"/>
        <item x="215"/>
        <item x="103"/>
        <item x="59"/>
        <item x="107"/>
        <item x="170"/>
        <item x="222"/>
        <item x="87"/>
        <item x="186"/>
        <item x="250"/>
        <item x="68"/>
        <item x="57"/>
        <item x="139"/>
        <item x="271"/>
        <item x="71"/>
        <item x="0"/>
        <item x="29"/>
        <item x="229"/>
        <item x="181"/>
        <item x="206"/>
        <item x="212"/>
        <item x="84"/>
        <item x="246"/>
        <item x="310"/>
        <item x="64"/>
        <item x="265"/>
        <item x="239"/>
        <item x="234"/>
        <item x="108"/>
        <item x="261"/>
        <item x="112"/>
        <item x="38"/>
        <item x="245"/>
        <item x="207"/>
        <item x="42"/>
        <item x="4"/>
        <item x="50"/>
        <item x="275"/>
        <item x="134"/>
        <item x="60"/>
        <item x="20"/>
        <item x="82"/>
        <item x="123"/>
        <item x="26"/>
        <item x="301"/>
        <item x="36"/>
        <item x="110"/>
        <item x="223"/>
        <item x="178"/>
        <item x="233"/>
        <item x="120"/>
        <item x="1"/>
        <item x="135"/>
        <item t="default"/>
      </items>
    </pivotField>
    <pivotField showAll="0"/>
    <pivotField showAll="0">
      <items count="11">
        <item x="2"/>
        <item h="1" x="8"/>
        <item x="0"/>
        <item x="6"/>
        <item x="3"/>
        <item x="1"/>
        <item x="7"/>
        <item x="5"/>
        <item x="9"/>
        <item x="4"/>
        <item t="default"/>
      </items>
    </pivotField>
    <pivotField axis="axisRow" showAll="0">
      <items count="21">
        <item x="7"/>
        <item x="9"/>
        <item x="2"/>
        <item x="3"/>
        <item x="0"/>
        <item x="5"/>
        <item x="14"/>
        <item x="10"/>
        <item x="19"/>
        <item x="13"/>
        <item x="6"/>
        <item x="16"/>
        <item x="4"/>
        <item x="12"/>
        <item x="1"/>
        <item x="18"/>
        <item x="8"/>
        <item x="11"/>
        <item x="15"/>
        <item x="17"/>
        <item t="default"/>
      </items>
    </pivotField>
    <pivotField showAll="0">
      <items count="8">
        <item x="2"/>
        <item h="1" x="6"/>
        <item x="3"/>
        <item h="1" x="5"/>
        <item h="1" x="0"/>
        <item h="1" x="4"/>
        <item h="1" x="1"/>
        <item t="default"/>
      </items>
    </pivotField>
    <pivotField showAll="0"/>
    <pivotField numFmtId="166" showAll="0"/>
    <pivotField numFmtId="166" showAll="0"/>
    <pivotField numFmtId="166" showAll="0"/>
    <pivotField dataField="1" numFmtId="166" showAll="0"/>
    <pivotField numFmtId="166" showAll="0"/>
    <pivotField showAll="0">
      <items count="6">
        <item x="4"/>
        <item x="1"/>
        <item h="1" x="3"/>
        <item x="0"/>
        <item x="2"/>
        <item t="default"/>
      </items>
    </pivotField>
    <pivotField showAll="0"/>
    <pivotField showAll="0"/>
    <pivotField showAll="0"/>
    <pivotField showAll="0">
      <items count="15">
        <item h="1" x="0"/>
        <item x="1"/>
        <item x="2"/>
        <item x="3"/>
        <item h="1" x="4"/>
        <item h="1" x="5"/>
        <item x="6"/>
        <item h="1" x="7"/>
        <item h="1" x="8"/>
        <item h="1" x="9"/>
        <item h="1" x="10"/>
        <item h="1" x="11"/>
        <item h="1" x="12"/>
        <item h="1" x="13"/>
        <item t="default"/>
      </items>
    </pivotField>
  </pivotFields>
  <rowFields count="1">
    <field x="4"/>
  </rowFields>
  <rowItems count="9">
    <i>
      <x/>
    </i>
    <i>
      <x v="2"/>
    </i>
    <i>
      <x v="3"/>
    </i>
    <i>
      <x v="6"/>
    </i>
    <i>
      <x v="9"/>
    </i>
    <i>
      <x v="11"/>
    </i>
    <i>
      <x v="17"/>
    </i>
    <i>
      <x v="18"/>
    </i>
    <i t="grand">
      <x/>
    </i>
  </rowItems>
  <colItems count="1">
    <i/>
  </colItems>
  <dataFields count="1">
    <dataField name="Sum of Total_Sales" fld="10" baseField="0" baseItem="0" numFmtId="169"/>
  </dataFields>
  <formats count="1">
    <format dxfId="121">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601E01F-8145-4E59-BF85-F7452C89425F}" sourceName="City">
  <pivotTables>
    <pivotTable tabId="5" name="PivotTable7"/>
    <pivotTable tabId="5" name="PivotTable10"/>
    <pivotTable tabId="5" name="PivotTable11"/>
    <pivotTable tabId="5" name="PivotTable12"/>
    <pivotTable tabId="5" name="PivotTable13"/>
    <pivotTable tabId="5" name="PivotTable14"/>
    <pivotTable tabId="5" name="PivotTable9"/>
    <pivotTable tabId="7" name="PivotTable2"/>
    <pivotTable tabId="7" name="PivotTable3"/>
    <pivotTable tabId="7" name="PivotTable4"/>
    <pivotTable tabId="7" name="PivotTable5"/>
    <pivotTable tabId="7" name="PivotTable6"/>
  </pivotTables>
  <data>
    <tabular pivotCacheId="1394299402">
      <items count="10">
        <i x="2" s="1"/>
        <i x="8"/>
        <i x="0" s="1"/>
        <i x="6" s="1"/>
        <i x="3" s="1"/>
        <i x="1" s="1"/>
        <i x="7" s="1"/>
        <i x="5" s="1"/>
        <i x="9"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471C31A-0722-4A35-8A22-AB02860B1F6C}" sourceName="Category">
  <pivotTables>
    <pivotTable tabId="5" name="PivotTable7"/>
    <pivotTable tabId="5" name="PivotTable10"/>
    <pivotTable tabId="5" name="PivotTable11"/>
    <pivotTable tabId="5" name="PivotTable12"/>
    <pivotTable tabId="5" name="PivotTable13"/>
    <pivotTable tabId="5" name="PivotTable14"/>
    <pivotTable tabId="5" name="PivotTable8"/>
    <pivotTable tabId="5" name="PivotTable9"/>
    <pivotTable tabId="7" name="PivotTable2"/>
    <pivotTable tabId="7" name="PivotTable3"/>
    <pivotTable tabId="7" name="PivotTable4"/>
    <pivotTable tabId="7" name="PivotTable5"/>
    <pivotTable tabId="7" name="PivotTable6"/>
  </pivotTables>
  <data>
    <tabular pivotCacheId="1394299402">
      <items count="7">
        <i x="2" s="1"/>
        <i x="6"/>
        <i x="3" s="1"/>
        <i x="5"/>
        <i x="0"/>
        <i x="4"/>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AEBAC0F-A38A-41B1-8A5C-35479CE13D49}" sourceName="Payment_Method">
  <pivotTables>
    <pivotTable tabId="5" name="PivotTable7"/>
    <pivotTable tabId="5" name="PivotTable10"/>
    <pivotTable tabId="5" name="PivotTable11"/>
    <pivotTable tabId="5" name="PivotTable12"/>
    <pivotTable tabId="5" name="PivotTable13"/>
    <pivotTable tabId="5" name="PivotTable14"/>
    <pivotTable tabId="5" name="PivotTable8"/>
    <pivotTable tabId="5" name="PivotTable9"/>
    <pivotTable tabId="7" name="PivotTable2"/>
    <pivotTable tabId="7" name="PivotTable3"/>
    <pivotTable tabId="7" name="PivotTable4"/>
    <pivotTable tabId="7" name="PivotTable5"/>
    <pivotTable tabId="7" name="PivotTable6"/>
  </pivotTables>
  <data>
    <tabular pivotCacheId="1394299402">
      <items count="5">
        <i x="4" s="1"/>
        <i x="1" s="1"/>
        <i x="3"/>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BE12D783-31BC-4A59-ABE9-CA085D70D5D6}" sourceName="Months (Order_Date)">
  <pivotTables>
    <pivotTable tabId="5" name="PivotTable7"/>
    <pivotTable tabId="5" name="PivotTable10"/>
    <pivotTable tabId="5" name="PivotTable11"/>
    <pivotTable tabId="5" name="PivotTable12"/>
    <pivotTable tabId="5" name="PivotTable13"/>
    <pivotTable tabId="5" name="PivotTable14"/>
    <pivotTable tabId="5" name="PivotTable8"/>
    <pivotTable tabId="5" name="PivotTable9"/>
    <pivotTable tabId="7" name="PivotTable2"/>
    <pivotTable tabId="7" name="PivotTable3"/>
    <pivotTable tabId="7" name="PivotTable4"/>
    <pivotTable tabId="7" name="PivotTable5"/>
    <pivotTable tabId="7" name="PivotTable6"/>
  </pivotTables>
  <data>
    <tabular pivotCacheId="1394299402">
      <items count="14">
        <i x="1" s="1"/>
        <i x="2" s="1"/>
        <i x="3" s="1"/>
        <i x="4"/>
        <i x="5"/>
        <i x="6" s="1"/>
        <i x="7"/>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3947B5A-B071-4E02-B52E-CB9CDE3943B0}" cache="Slicer_City" caption="City" style="SlicerStyleDark2" rowHeight="144000"/>
  <slicer name="Category" xr10:uid="{8EF21F25-EA20-46BF-97F1-A32931DF68EA}" cache="Slicer_Category" caption="Category" style="SlicerStyleDark2" rowHeight="144000"/>
  <slicer name="Payment_Method" xr10:uid="{646C93E3-EFA2-42F3-A5EA-5A8872B5B450}" cache="Slicer_Payment_Method" caption="Payment_Method" style="SlicerStyleDark2" rowHeight="144000"/>
  <slicer name="Months" xr10:uid="{8201C221-60A7-44F1-9ADD-EE03A4F4F8F7}" cache="Slicer_Months__Order_Date" caption="Months" columnCount="2" style="SlicerStyleDark2"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5CA4978-4B84-49F7-89A3-BD70E6763F74}" name="Table18" displayName="Table18" ref="A1:D21" totalsRowShown="0" headerRowDxfId="160" dataDxfId="159">
  <autoFilter ref="A1:D21" xr:uid="{C5CA4978-4B84-49F7-89A3-BD70E6763F74}"/>
  <tableColumns count="4">
    <tableColumn id="1" xr3:uid="{1421E048-2C9B-4826-9BE3-978EA7D3F18C}" name="Product" dataDxfId="158"/>
    <tableColumn id="2" xr3:uid="{F92FF697-95C5-42D7-8E2D-E5FA173775CA}" name="Category" dataDxfId="157"/>
    <tableColumn id="3" xr3:uid="{9531AEA4-AE91-48C4-A66F-172C9F1701D7}" name="Unit_Price" dataDxfId="156"/>
    <tableColumn id="4" xr3:uid="{776207CB-E865-4DD5-89D2-941253889293}" name="Cost_Price" dataDxfId="15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F78944D-3DA8-407C-A390-E24D6FBCD0C8}" name="Table214" displayName="Table214" ref="F1:F11" totalsRowShown="0" headerRowDxfId="154" dataDxfId="153">
  <autoFilter ref="F1:F11" xr:uid="{EF78944D-3DA8-407C-A390-E24D6FBCD0C8}"/>
  <tableColumns count="1">
    <tableColumn id="1" xr3:uid="{6C56BABD-827B-46B4-AFEF-D2AA991E1404}" name="Cities" dataDxfId="15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950056E-F13E-40D9-9EAA-1E0566A84728}" name="Table315" displayName="Table315" ref="H1:H6" totalsRowShown="0" headerRowDxfId="151" dataDxfId="150">
  <autoFilter ref="H1:H6" xr:uid="{2950056E-F13E-40D9-9EAA-1E0566A84728}"/>
  <tableColumns count="1">
    <tableColumn id="1" xr3:uid="{B7A1D349-52D6-4B90-90AA-DF035C137F97}" name="Payment Methods" dataDxfId="14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D02478-470F-4575-AB2D-3E5D29E3208F}" name="Table416" displayName="Table416" ref="J1:J4" totalsRowShown="0" headerRowDxfId="148" dataDxfId="147">
  <autoFilter ref="J1:J4" xr:uid="{CDD02478-470F-4575-AB2D-3E5D29E3208F}"/>
  <tableColumns count="1">
    <tableColumn id="1" xr3:uid="{5F07F4E5-7BBE-4558-8EFE-816633D72B7E}" name="Order Type" dataDxfId="14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FAEFFAD-B94C-4FD8-8150-32A26181109D}" name="Table517" displayName="Table517" ref="L1:L6" totalsRowShown="0" headerRowDxfId="145" dataDxfId="144">
  <autoFilter ref="L1:L6" xr:uid="{6FAEFFAD-B94C-4FD8-8150-32A26181109D}"/>
  <tableColumns count="1">
    <tableColumn id="1" xr3:uid="{C0816795-A917-45C3-8779-0EA8D7ACA0AF}" name="Customer Rating" dataDxfId="14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FA7AA73-8D26-4644-8F6D-518C17494569}" name="Table618" displayName="Table618" ref="N1:N11" totalsRowShown="0" headerRowDxfId="142" dataDxfId="141">
  <autoFilter ref="N1:N11" xr:uid="{0FA7AA73-8D26-4644-8F6D-518C17494569}"/>
  <tableColumns count="1">
    <tableColumn id="1" xr3:uid="{E2FC8447-1BC3-40FF-A215-ABDA5044CF73}" name="Salespersons" dataDxfId="14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226979-6F67-423E-9A4A-971F85F71F98}" name="Table1" displayName="Table1" ref="P1:P31" totalsRowShown="0" headerRowDxfId="137" dataDxfId="138">
  <autoFilter ref="P1:P31" xr:uid="{90226979-6F67-423E-9A4A-971F85F71F98}"/>
  <tableColumns count="1">
    <tableColumn id="1" xr3:uid="{0D0A811B-C45A-4A3D-ABBD-87021064B5C2}" name="Customer_Name" dataDxfId="13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377453-C916-48F4-9AED-08D44DD0B29F}" name="Table2" displayName="Table2" ref="A1:P1001" totalsRowShown="0">
  <autoFilter ref="A1:P1001" xr:uid="{3F377453-C916-48F4-9AED-08D44DD0B29F}"/>
  <tableColumns count="16">
    <tableColumn id="1" xr3:uid="{AED3D738-33F7-4709-99F8-F71235EA23A3}" name="Order_ID">
      <calculatedColumnFormula>"ORD"&amp;TEXT(ROW()-1,"0000")</calculatedColumnFormula>
    </tableColumn>
    <tableColumn id="2" xr3:uid="{4A6C6BFF-7D76-4007-8152-0E11E0640043}" name="Order_Date" dataDxfId="136"/>
    <tableColumn id="3" xr3:uid="{5FF83095-AF4C-44DA-9AD0-F8B5849D577A}" name="Customer_Name"/>
    <tableColumn id="4" xr3:uid="{1F6C5383-C0B0-49DE-9537-014885392720}" name="City"/>
    <tableColumn id="5" xr3:uid="{3394997C-332A-4A3B-9504-2573542138CD}" name="Product"/>
    <tableColumn id="6" xr3:uid="{48A579A7-81CE-4373-87D8-66FE2630F521}" name="Category"/>
    <tableColumn id="7" xr3:uid="{766BDC8C-66E5-4231-BBBD-A0EA62FF4FDB}" name="Quantity"/>
    <tableColumn id="8" xr3:uid="{662B9973-7448-4CFC-AA98-9CFDCB54EA13}" name="Unit_Price" dataDxfId="131">
      <calculatedColumnFormula>_xlfn.XLOOKUP(E2,Table18[Product],Table18[Unit_Price])</calculatedColumnFormula>
    </tableColumn>
    <tableColumn id="9" xr3:uid="{E03C9223-F86B-439E-817F-FDBD2FF957E4}" name="Cost_Price" dataDxfId="132">
      <calculatedColumnFormula>_xlfn.XLOOKUP(E2,Table18[Product],Table18[Cost_Price])</calculatedColumnFormula>
    </tableColumn>
    <tableColumn id="10" xr3:uid="{1C43B391-E73A-458C-9611-4D39E51D75B8}" name="Discount" dataDxfId="133"/>
    <tableColumn id="11" xr3:uid="{198D7C2C-22C5-4DC6-BD24-E0090FAADC8F}" name="Total_Sales" dataDxfId="134">
      <calculatedColumnFormula>(G2*H2)-J2</calculatedColumnFormula>
    </tableColumn>
    <tableColumn id="12" xr3:uid="{98337305-E8DC-439F-A6B6-1E1511A1A98E}" name="Profit" dataDxfId="135">
      <calculatedColumnFormula>K2-(G2*I2)</calculatedColumnFormula>
    </tableColumn>
    <tableColumn id="13" xr3:uid="{7F3D68FA-B7EA-4EBB-9AEC-FBE47FCA3083}" name="Payment_Method"/>
    <tableColumn id="14" xr3:uid="{6353355C-4631-48F6-B774-ED99B6252937}" name="Order_Type"/>
    <tableColumn id="15" xr3:uid="{382A56C2-2A89-4125-99B4-C66C92ABFCD0}" name="Salesperson"/>
    <tableColumn id="16" xr3:uid="{32773444-A665-4B3F-A1E7-7E0790318789}" name="Customer_Rating"/>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Wood Type">
  <a:themeElements>
    <a:clrScheme name="Wood Type">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Wood Type">
      <a:majorFont>
        <a:latin typeface="Rockwell Condensed" panose="02060603050405020104"/>
        <a:ea typeface=""/>
        <a:cs typeface=""/>
        <a:font script="Grek" typeface="Cambria"/>
        <a:font script="Cyrl" typeface="Cambria"/>
        <a:font script="Jpan" typeface="HG明朝B"/>
        <a:font script="Hang" typeface="바탕"/>
        <a:font script="Hans" typeface="方正姚体"/>
        <a:font script="Hant" typeface="微軟正黑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Rockwell" panose="02060603020205020403"/>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Wood Type">
      <a:fillStyleLst>
        <a:solidFill>
          <a:schemeClr val="phClr"/>
        </a:solidFill>
        <a:blipFill rotWithShape="1">
          <a:blip xmlns:r="http://schemas.openxmlformats.org/officeDocument/2006/relationships" r:embed="rId1">
            <a:duotone>
              <a:schemeClr val="phClr">
                <a:tint val="70000"/>
                <a:shade val="63000"/>
              </a:schemeClr>
              <a:schemeClr val="phClr">
                <a:tint val="10000"/>
                <a:satMod val="150000"/>
              </a:schemeClr>
            </a:duotone>
          </a:blip>
          <a:tile tx="0" ty="0" sx="60000" sy="59000" flip="none" algn="tl"/>
        </a:blipFill>
        <a:blipFill rotWithShape="1">
          <a:blip xmlns:r="http://schemas.openxmlformats.org/officeDocument/2006/relationships" r:embed="rId1">
            <a:duotone>
              <a:schemeClr val="phClr">
                <a:shade val="36000"/>
                <a:satMod val="120000"/>
              </a:schemeClr>
              <a:schemeClr val="phClr">
                <a:tint val="40000"/>
              </a:schemeClr>
            </a:duotone>
          </a:blip>
          <a:tile tx="0" ty="0" sx="60000" sy="59000" flip="none" algn="tl"/>
        </a:blip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shade val="97000"/>
            <a:satMod val="150000"/>
          </a:schemeClr>
        </a:solidFill>
        <a:blipFill rotWithShape="1">
          <a:blip xmlns:r="http://schemas.openxmlformats.org/officeDocument/2006/relationships" r:embed="rId1">
            <a:duotone>
              <a:schemeClr val="phClr">
                <a:tint val="75000"/>
                <a:shade val="58000"/>
                <a:satMod val="120000"/>
              </a:schemeClr>
              <a:schemeClr val="phClr">
                <a:tint val="50000"/>
                <a:shade val="96000"/>
              </a:schemeClr>
            </a:duotone>
          </a:blip>
          <a:tile tx="0" ty="0" sx="100000" sy="100000" flip="none" algn="tl"/>
        </a:blipFill>
      </a:bgFillStyleLst>
    </a:fmtScheme>
  </a:themeElements>
  <a:objectDefaults/>
  <a:extraClrSchemeLst/>
  <a:extLst>
    <a:ext uri="{05A4C25C-085E-4340-85A3-A5531E510DB2}">
      <thm15:themeFamily xmlns:thm15="http://schemas.microsoft.com/office/thememl/2012/main" name="Wood Type" id="{7ACABC62-BF99-48CF-A9DC-4DB89C7B13DC}" vid="{142A1326-48AB-42A9-8428-CB14AA30176D}"/>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3A278-6621-424F-A875-B989822A596A}">
  <dimension ref="A1:P31"/>
  <sheetViews>
    <sheetView tabSelected="1" zoomScale="60" workbookViewId="0">
      <selection activeCell="J36" sqref="J36"/>
    </sheetView>
  </sheetViews>
  <sheetFormatPr defaultRowHeight="14.4" x14ac:dyDescent="0.25"/>
  <cols>
    <col min="1" max="1" width="16.09765625" bestFit="1" customWidth="1"/>
    <col min="2" max="2" width="17.09765625" bestFit="1" customWidth="1"/>
    <col min="3" max="3" width="18.796875" bestFit="1" customWidth="1"/>
    <col min="4" max="4" width="19.09765625" bestFit="1" customWidth="1"/>
    <col min="6" max="6" width="13.8984375" customWidth="1"/>
    <col min="8" max="8" width="16.8984375" customWidth="1"/>
    <col min="10" max="10" width="19.796875" bestFit="1" customWidth="1"/>
    <col min="12" max="12" width="19.8984375" bestFit="1" customWidth="1"/>
    <col min="14" max="14" width="22.09765625" bestFit="1" customWidth="1"/>
    <col min="16" max="16" width="21.59765625" bestFit="1" customWidth="1"/>
  </cols>
  <sheetData>
    <row r="1" spans="1:16" ht="28.8" x14ac:dyDescent="0.25">
      <c r="A1" s="1" t="s">
        <v>4</v>
      </c>
      <c r="B1" s="1" t="s">
        <v>5</v>
      </c>
      <c r="C1" s="1" t="s">
        <v>7</v>
      </c>
      <c r="D1" s="1" t="s">
        <v>15</v>
      </c>
      <c r="F1" s="1" t="s">
        <v>43</v>
      </c>
      <c r="G1" s="1"/>
      <c r="H1" s="1" t="s">
        <v>44</v>
      </c>
      <c r="I1" s="1"/>
      <c r="J1" s="1" t="s">
        <v>45</v>
      </c>
      <c r="K1" s="1"/>
      <c r="L1" s="1" t="s">
        <v>46</v>
      </c>
      <c r="M1" s="1"/>
      <c r="N1" s="1" t="s">
        <v>47</v>
      </c>
      <c r="P1" s="2" t="s">
        <v>2</v>
      </c>
    </row>
    <row r="2" spans="1:16" ht="13.8" x14ac:dyDescent="0.25">
      <c r="A2" s="2" t="s">
        <v>16</v>
      </c>
      <c r="B2" s="2" t="s">
        <v>17</v>
      </c>
      <c r="C2" s="2">
        <v>120</v>
      </c>
      <c r="D2" s="2">
        <v>60</v>
      </c>
      <c r="F2" s="2" t="s">
        <v>48</v>
      </c>
      <c r="G2" s="2"/>
      <c r="H2" s="2" t="s">
        <v>49</v>
      </c>
      <c r="I2" s="2"/>
      <c r="J2" s="2" t="s">
        <v>50</v>
      </c>
      <c r="K2" s="2"/>
      <c r="L2" s="2">
        <v>1</v>
      </c>
      <c r="M2" s="2"/>
      <c r="N2" s="2" t="s">
        <v>51</v>
      </c>
      <c r="P2" s="2" t="s">
        <v>76</v>
      </c>
    </row>
    <row r="3" spans="1:16" ht="13.8" x14ac:dyDescent="0.25">
      <c r="A3" s="2" t="s">
        <v>18</v>
      </c>
      <c r="B3" s="2" t="s">
        <v>17</v>
      </c>
      <c r="C3" s="2">
        <v>180</v>
      </c>
      <c r="D3" s="2">
        <v>90</v>
      </c>
      <c r="F3" s="2" t="s">
        <v>52</v>
      </c>
      <c r="G3" s="2"/>
      <c r="H3" s="2" t="s">
        <v>53</v>
      </c>
      <c r="I3" s="2"/>
      <c r="J3" s="2" t="s">
        <v>54</v>
      </c>
      <c r="K3" s="2"/>
      <c r="L3" s="2">
        <v>2</v>
      </c>
      <c r="M3" s="2"/>
      <c r="N3" s="2" t="s">
        <v>55</v>
      </c>
      <c r="P3" s="2" t="s">
        <v>77</v>
      </c>
    </row>
    <row r="4" spans="1:16" ht="13.8" x14ac:dyDescent="0.25">
      <c r="A4" s="2" t="s">
        <v>19</v>
      </c>
      <c r="B4" s="2" t="s">
        <v>17</v>
      </c>
      <c r="C4" s="2">
        <v>200</v>
      </c>
      <c r="D4" s="2">
        <v>100</v>
      </c>
      <c r="F4" s="2" t="s">
        <v>56</v>
      </c>
      <c r="G4" s="2"/>
      <c r="H4" s="2" t="s">
        <v>57</v>
      </c>
      <c r="I4" s="2"/>
      <c r="J4" s="2" t="s">
        <v>58</v>
      </c>
      <c r="K4" s="2"/>
      <c r="L4" s="2">
        <v>3</v>
      </c>
      <c r="M4" s="2"/>
      <c r="N4" s="2" t="s">
        <v>59</v>
      </c>
      <c r="P4" s="2" t="s">
        <v>78</v>
      </c>
    </row>
    <row r="5" spans="1:16" ht="27.6" x14ac:dyDescent="0.25">
      <c r="A5" s="2" t="s">
        <v>20</v>
      </c>
      <c r="B5" s="2" t="s">
        <v>17</v>
      </c>
      <c r="C5" s="2">
        <v>150</v>
      </c>
      <c r="D5" s="2">
        <v>75</v>
      </c>
      <c r="F5" s="2" t="s">
        <v>60</v>
      </c>
      <c r="G5" s="2"/>
      <c r="H5" s="2" t="s">
        <v>61</v>
      </c>
      <c r="I5" s="2"/>
      <c r="J5" s="2"/>
      <c r="K5" s="2"/>
      <c r="L5" s="2">
        <v>4</v>
      </c>
      <c r="M5" s="2"/>
      <c r="N5" s="2" t="s">
        <v>62</v>
      </c>
      <c r="P5" s="2" t="s">
        <v>79</v>
      </c>
    </row>
    <row r="6" spans="1:16" ht="13.8" x14ac:dyDescent="0.25">
      <c r="A6" s="2" t="s">
        <v>21</v>
      </c>
      <c r="B6" s="2" t="s">
        <v>17</v>
      </c>
      <c r="C6" s="2">
        <v>220</v>
      </c>
      <c r="D6" s="2">
        <v>110</v>
      </c>
      <c r="F6" s="2" t="s">
        <v>63</v>
      </c>
      <c r="G6" s="2"/>
      <c r="H6" s="2" t="s">
        <v>64</v>
      </c>
      <c r="I6" s="2"/>
      <c r="J6" s="2"/>
      <c r="K6" s="2"/>
      <c r="L6" s="2">
        <v>5</v>
      </c>
      <c r="M6" s="2"/>
      <c r="N6" s="2" t="s">
        <v>65</v>
      </c>
      <c r="P6" s="2" t="s">
        <v>80</v>
      </c>
    </row>
    <row r="7" spans="1:16" ht="27.6" x14ac:dyDescent="0.25">
      <c r="A7" s="2" t="s">
        <v>22</v>
      </c>
      <c r="B7" s="2" t="s">
        <v>23</v>
      </c>
      <c r="C7" s="2">
        <v>190</v>
      </c>
      <c r="D7" s="2">
        <v>95</v>
      </c>
      <c r="F7" s="2" t="s">
        <v>66</v>
      </c>
      <c r="G7" s="2"/>
      <c r="H7" s="2"/>
      <c r="I7" s="2"/>
      <c r="J7" s="2"/>
      <c r="K7" s="2"/>
      <c r="L7" s="2"/>
      <c r="M7" s="2"/>
      <c r="N7" s="2" t="s">
        <v>67</v>
      </c>
      <c r="P7" s="2" t="s">
        <v>81</v>
      </c>
    </row>
    <row r="8" spans="1:16" ht="27.6" x14ac:dyDescent="0.25">
      <c r="A8" s="2" t="s">
        <v>24</v>
      </c>
      <c r="B8" s="2" t="s">
        <v>23</v>
      </c>
      <c r="C8" s="2">
        <v>210</v>
      </c>
      <c r="D8" s="2">
        <v>105</v>
      </c>
      <c r="F8" s="2" t="s">
        <v>68</v>
      </c>
      <c r="G8" s="2"/>
      <c r="H8" s="2"/>
      <c r="I8" s="2"/>
      <c r="J8" s="2"/>
      <c r="K8" s="2"/>
      <c r="L8" s="2"/>
      <c r="M8" s="2"/>
      <c r="N8" s="2" t="s">
        <v>69</v>
      </c>
      <c r="P8" s="2" t="s">
        <v>82</v>
      </c>
    </row>
    <row r="9" spans="1:16" ht="27.6" x14ac:dyDescent="0.25">
      <c r="A9" s="2" t="s">
        <v>25</v>
      </c>
      <c r="B9" s="2" t="s">
        <v>26</v>
      </c>
      <c r="C9" s="2">
        <v>170</v>
      </c>
      <c r="D9" s="2">
        <v>85</v>
      </c>
      <c r="F9" s="2" t="s">
        <v>70</v>
      </c>
      <c r="G9" s="2"/>
      <c r="H9" s="2"/>
      <c r="I9" s="2"/>
      <c r="J9" s="2"/>
      <c r="K9" s="2"/>
      <c r="L9" s="2"/>
      <c r="M9" s="2"/>
      <c r="N9" s="2" t="s">
        <v>71</v>
      </c>
      <c r="P9" s="2" t="s">
        <v>83</v>
      </c>
    </row>
    <row r="10" spans="1:16" ht="13.8" x14ac:dyDescent="0.25">
      <c r="A10" s="2" t="s">
        <v>27</v>
      </c>
      <c r="B10" s="2" t="s">
        <v>28</v>
      </c>
      <c r="C10" s="2">
        <v>140</v>
      </c>
      <c r="D10" s="2">
        <v>70</v>
      </c>
      <c r="F10" s="2" t="s">
        <v>72</v>
      </c>
      <c r="G10" s="2"/>
      <c r="H10" s="2"/>
      <c r="I10" s="2"/>
      <c r="J10" s="2"/>
      <c r="K10" s="2"/>
      <c r="L10" s="2"/>
      <c r="M10" s="2"/>
      <c r="N10" s="2" t="s">
        <v>73</v>
      </c>
      <c r="P10" s="2" t="s">
        <v>84</v>
      </c>
    </row>
    <row r="11" spans="1:16" ht="13.8" x14ac:dyDescent="0.25">
      <c r="A11" s="2" t="s">
        <v>29</v>
      </c>
      <c r="B11" s="2" t="s">
        <v>28</v>
      </c>
      <c r="C11" s="2">
        <v>120</v>
      </c>
      <c r="D11" s="2">
        <v>60</v>
      </c>
      <c r="F11" s="2" t="s">
        <v>74</v>
      </c>
      <c r="G11" s="2"/>
      <c r="H11" s="2"/>
      <c r="I11" s="2"/>
      <c r="J11" s="2"/>
      <c r="K11" s="2"/>
      <c r="L11" s="2"/>
      <c r="M11" s="2"/>
      <c r="N11" s="2" t="s">
        <v>75</v>
      </c>
      <c r="P11" s="2" t="s">
        <v>85</v>
      </c>
    </row>
    <row r="12" spans="1:16" ht="27.6" x14ac:dyDescent="0.25">
      <c r="A12" s="2" t="s">
        <v>30</v>
      </c>
      <c r="B12" s="2" t="s">
        <v>31</v>
      </c>
      <c r="C12" s="2">
        <v>110</v>
      </c>
      <c r="D12" s="2">
        <v>55</v>
      </c>
      <c r="P12" s="2" t="s">
        <v>86</v>
      </c>
    </row>
    <row r="13" spans="1:16" ht="27.6" x14ac:dyDescent="0.25">
      <c r="A13" s="2" t="s">
        <v>32</v>
      </c>
      <c r="B13" s="2" t="s">
        <v>31</v>
      </c>
      <c r="C13" s="2">
        <v>130</v>
      </c>
      <c r="D13" s="2">
        <v>65</v>
      </c>
      <c r="P13" s="2" t="s">
        <v>87</v>
      </c>
    </row>
    <row r="14" spans="1:16" ht="13.8" x14ac:dyDescent="0.25">
      <c r="A14" s="2" t="s">
        <v>33</v>
      </c>
      <c r="B14" s="2" t="s">
        <v>31</v>
      </c>
      <c r="C14" s="2">
        <v>150</v>
      </c>
      <c r="D14" s="2">
        <v>75</v>
      </c>
      <c r="P14" s="2" t="s">
        <v>88</v>
      </c>
    </row>
    <row r="15" spans="1:16" ht="27.6" x14ac:dyDescent="0.25">
      <c r="A15" s="2" t="s">
        <v>34</v>
      </c>
      <c r="B15" s="2" t="s">
        <v>35</v>
      </c>
      <c r="C15" s="2">
        <v>180</v>
      </c>
      <c r="D15" s="2">
        <v>90</v>
      </c>
      <c r="P15" s="2" t="s">
        <v>89</v>
      </c>
    </row>
    <row r="16" spans="1:16" ht="27.6" x14ac:dyDescent="0.25">
      <c r="A16" s="2" t="s">
        <v>36</v>
      </c>
      <c r="B16" s="2" t="s">
        <v>35</v>
      </c>
      <c r="C16" s="2">
        <v>220</v>
      </c>
      <c r="D16" s="2">
        <v>110</v>
      </c>
      <c r="P16" s="2" t="s">
        <v>90</v>
      </c>
    </row>
    <row r="17" spans="1:16" ht="13.8" x14ac:dyDescent="0.25">
      <c r="A17" s="2" t="s">
        <v>37</v>
      </c>
      <c r="B17" s="2" t="s">
        <v>35</v>
      </c>
      <c r="C17" s="2">
        <v>160</v>
      </c>
      <c r="D17" s="2">
        <v>80</v>
      </c>
      <c r="P17" s="2" t="s">
        <v>91</v>
      </c>
    </row>
    <row r="18" spans="1:16" ht="13.8" x14ac:dyDescent="0.25">
      <c r="A18" s="2" t="s">
        <v>38</v>
      </c>
      <c r="B18" s="2" t="s">
        <v>35</v>
      </c>
      <c r="C18" s="2">
        <v>170</v>
      </c>
      <c r="D18" s="2">
        <v>85</v>
      </c>
      <c r="P18" s="2" t="s">
        <v>92</v>
      </c>
    </row>
    <row r="19" spans="1:16" ht="13.8" x14ac:dyDescent="0.25">
      <c r="A19" s="2" t="s">
        <v>39</v>
      </c>
      <c r="B19" s="2" t="s">
        <v>40</v>
      </c>
      <c r="C19" s="2">
        <v>240</v>
      </c>
      <c r="D19" s="2">
        <v>120</v>
      </c>
      <c r="P19" s="2" t="s">
        <v>93</v>
      </c>
    </row>
    <row r="20" spans="1:16" ht="13.8" x14ac:dyDescent="0.25">
      <c r="A20" s="2" t="s">
        <v>41</v>
      </c>
      <c r="B20" s="2" t="s">
        <v>40</v>
      </c>
      <c r="C20" s="2">
        <v>100</v>
      </c>
      <c r="D20" s="2">
        <v>50</v>
      </c>
      <c r="P20" s="2" t="s">
        <v>94</v>
      </c>
    </row>
    <row r="21" spans="1:16" ht="13.8" x14ac:dyDescent="0.25">
      <c r="A21" s="2" t="s">
        <v>42</v>
      </c>
      <c r="B21" s="2" t="s">
        <v>40</v>
      </c>
      <c r="C21" s="2">
        <v>80</v>
      </c>
      <c r="D21" s="2">
        <v>40</v>
      </c>
      <c r="P21" s="2" t="s">
        <v>95</v>
      </c>
    </row>
    <row r="22" spans="1:16" ht="13.8" x14ac:dyDescent="0.25">
      <c r="P22" s="2" t="s">
        <v>96</v>
      </c>
    </row>
    <row r="23" spans="1:16" ht="13.8" x14ac:dyDescent="0.25">
      <c r="P23" s="2" t="s">
        <v>97</v>
      </c>
    </row>
    <row r="24" spans="1:16" ht="13.8" x14ac:dyDescent="0.25">
      <c r="P24" s="2" t="s">
        <v>98</v>
      </c>
    </row>
    <row r="25" spans="1:16" ht="13.8" x14ac:dyDescent="0.25">
      <c r="P25" s="2" t="s">
        <v>99</v>
      </c>
    </row>
    <row r="26" spans="1:16" ht="13.8" x14ac:dyDescent="0.25">
      <c r="P26" s="2" t="s">
        <v>100</v>
      </c>
    </row>
    <row r="27" spans="1:16" ht="13.8" x14ac:dyDescent="0.25">
      <c r="P27" s="2" t="s">
        <v>101</v>
      </c>
    </row>
    <row r="28" spans="1:16" ht="13.8" x14ac:dyDescent="0.25">
      <c r="P28" s="2" t="s">
        <v>102</v>
      </c>
    </row>
    <row r="29" spans="1:16" ht="13.8" x14ac:dyDescent="0.25">
      <c r="P29" s="2" t="s">
        <v>103</v>
      </c>
    </row>
    <row r="30" spans="1:16" ht="13.8" x14ac:dyDescent="0.25">
      <c r="P30" s="2" t="s">
        <v>104</v>
      </c>
    </row>
    <row r="31" spans="1:16" ht="13.8" x14ac:dyDescent="0.25">
      <c r="P31" s="2" t="s">
        <v>105</v>
      </c>
    </row>
  </sheetData>
  <pageMargins left="0.7" right="0.7" top="0.75" bottom="0.75" header="0.3" footer="0.3"/>
  <tableParts count="7">
    <tablePart r:id="rId1"/>
    <tablePart r:id="rId2"/>
    <tablePart r:id="rId3"/>
    <tablePart r:id="rId4"/>
    <tablePart r:id="rId5"/>
    <tablePart r:id="rId6"/>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7C9A7-6C6A-4E9F-9B35-49A9C9B4BEFF}">
  <dimension ref="A1:P1001"/>
  <sheetViews>
    <sheetView topLeftCell="E278" workbookViewId="0">
      <selection activeCell="E304" sqref="A2:P1001"/>
    </sheetView>
  </sheetViews>
  <sheetFormatPr defaultRowHeight="13.8" x14ac:dyDescent="0.25"/>
  <cols>
    <col min="1" max="1" width="10.3984375" customWidth="1"/>
    <col min="2" max="2" width="12.5" customWidth="1"/>
    <col min="3" max="3" width="16.8984375" customWidth="1"/>
    <col min="4" max="4" width="10.59765625" customWidth="1"/>
    <col min="5" max="5" width="16.59765625" customWidth="1"/>
    <col min="6" max="6" width="12.59765625" customWidth="1"/>
    <col min="7" max="7" width="10.09765625" customWidth="1"/>
    <col min="8" max="8" width="11.5" style="10" customWidth="1"/>
    <col min="9" max="9" width="11.59765625" style="10" customWidth="1"/>
    <col min="10" max="10" width="10.09765625" style="10" customWidth="1"/>
    <col min="11" max="11" width="12.296875" style="10" customWidth="1"/>
    <col min="12" max="12" width="8.796875" style="10"/>
    <col min="13" max="13" width="18.09765625" customWidth="1"/>
    <col min="14" max="14" width="12.69921875" customWidth="1"/>
    <col min="15" max="15" width="12.796875" customWidth="1"/>
    <col min="16" max="16" width="17.296875" customWidth="1"/>
  </cols>
  <sheetData>
    <row r="1" spans="1:16" x14ac:dyDescent="0.25">
      <c r="A1" t="s">
        <v>0</v>
      </c>
      <c r="B1" t="s">
        <v>1</v>
      </c>
      <c r="C1" t="s">
        <v>2</v>
      </c>
      <c r="D1" t="s">
        <v>3</v>
      </c>
      <c r="E1" t="s">
        <v>4</v>
      </c>
      <c r="F1" t="s">
        <v>5</v>
      </c>
      <c r="G1" t="s">
        <v>6</v>
      </c>
      <c r="H1" s="10" t="s">
        <v>7</v>
      </c>
      <c r="I1" s="10" t="s">
        <v>15</v>
      </c>
      <c r="J1" s="10" t="s">
        <v>8</v>
      </c>
      <c r="K1" s="10" t="s">
        <v>9</v>
      </c>
      <c r="L1" s="10" t="s">
        <v>10</v>
      </c>
      <c r="M1" t="s">
        <v>11</v>
      </c>
      <c r="N1" t="s">
        <v>12</v>
      </c>
      <c r="O1" t="s">
        <v>13</v>
      </c>
      <c r="P1" t="s">
        <v>14</v>
      </c>
    </row>
    <row r="2" spans="1:16" x14ac:dyDescent="0.25">
      <c r="A2" t="str">
        <f>"ORD"&amp;TEXT(ROW()-1,"0000")</f>
        <v>ORD0001</v>
      </c>
      <c r="B2" s="3">
        <v>46343</v>
      </c>
      <c r="C2" t="s">
        <v>86</v>
      </c>
      <c r="D2" t="s">
        <v>66</v>
      </c>
      <c r="E2" t="s">
        <v>39</v>
      </c>
      <c r="F2" t="s">
        <v>40</v>
      </c>
      <c r="G2">
        <v>2</v>
      </c>
      <c r="H2" s="10">
        <f>_xlfn.XLOOKUP(E2,Table18[Product],Table18[Unit_Price])</f>
        <v>240</v>
      </c>
      <c r="I2" s="10">
        <f>_xlfn.XLOOKUP(E2,Table18[Product],Table18[Cost_Price])</f>
        <v>120</v>
      </c>
      <c r="J2" s="10">
        <v>18</v>
      </c>
      <c r="K2" s="10">
        <f>(G2*H2)-J2</f>
        <v>462</v>
      </c>
      <c r="L2" s="10">
        <f>K2-(G2*I2)</f>
        <v>222</v>
      </c>
      <c r="M2" t="s">
        <v>53</v>
      </c>
      <c r="N2" t="s">
        <v>58</v>
      </c>
      <c r="O2" t="s">
        <v>59</v>
      </c>
      <c r="P2">
        <v>4</v>
      </c>
    </row>
    <row r="3" spans="1:16" x14ac:dyDescent="0.25">
      <c r="A3" t="str">
        <f t="shared" ref="A3:A66" si="0">"ORD"&amp;TEXT(ROW()-1,"0000")</f>
        <v>ORD0002</v>
      </c>
      <c r="B3" s="3">
        <v>46383</v>
      </c>
      <c r="C3" t="s">
        <v>82</v>
      </c>
      <c r="D3" t="s">
        <v>60</v>
      </c>
      <c r="E3" t="s">
        <v>27</v>
      </c>
      <c r="F3" t="s">
        <v>28</v>
      </c>
      <c r="G3">
        <v>2</v>
      </c>
      <c r="H3" s="10">
        <f>_xlfn.XLOOKUP(E3,Table18[Product],Table18[Unit_Price])</f>
        <v>140</v>
      </c>
      <c r="I3" s="10">
        <f>_xlfn.XLOOKUP(E3,Table18[Product],Table18[Cost_Price])</f>
        <v>70</v>
      </c>
      <c r="J3" s="10">
        <v>24</v>
      </c>
      <c r="K3" s="10">
        <f t="shared" ref="K3:K66" si="1">(G3*H3)-J3</f>
        <v>256</v>
      </c>
      <c r="L3" s="10">
        <f t="shared" ref="L3:L66" si="2">K3-(G3*I3)</f>
        <v>116</v>
      </c>
      <c r="M3" t="s">
        <v>57</v>
      </c>
      <c r="N3" t="s">
        <v>54</v>
      </c>
      <c r="O3" t="s">
        <v>71</v>
      </c>
      <c r="P3">
        <v>4</v>
      </c>
    </row>
    <row r="4" spans="1:16" x14ac:dyDescent="0.25">
      <c r="A4" t="str">
        <f t="shared" si="0"/>
        <v>ORD0003</v>
      </c>
      <c r="B4" s="3">
        <v>46296</v>
      </c>
      <c r="C4" t="s">
        <v>93</v>
      </c>
      <c r="D4" t="s">
        <v>60</v>
      </c>
      <c r="E4" t="s">
        <v>30</v>
      </c>
      <c r="F4" t="s">
        <v>31</v>
      </c>
      <c r="G4">
        <v>1</v>
      </c>
      <c r="H4" s="10">
        <f>_xlfn.XLOOKUP(E4,Table18[Product],Table18[Unit_Price])</f>
        <v>110</v>
      </c>
      <c r="I4" s="10">
        <f>_xlfn.XLOOKUP(E4,Table18[Product],Table18[Cost_Price])</f>
        <v>55</v>
      </c>
      <c r="J4" s="10">
        <v>24</v>
      </c>
      <c r="K4" s="10">
        <f t="shared" si="1"/>
        <v>86</v>
      </c>
      <c r="L4" s="10">
        <f t="shared" si="2"/>
        <v>31</v>
      </c>
      <c r="M4" t="s">
        <v>64</v>
      </c>
      <c r="N4" t="s">
        <v>58</v>
      </c>
      <c r="O4" t="s">
        <v>69</v>
      </c>
      <c r="P4">
        <v>4</v>
      </c>
    </row>
    <row r="5" spans="1:16" x14ac:dyDescent="0.25">
      <c r="A5" t="str">
        <f t="shared" si="0"/>
        <v>ORD0004</v>
      </c>
      <c r="B5" s="3">
        <v>46097</v>
      </c>
      <c r="C5" t="s">
        <v>99</v>
      </c>
      <c r="D5" t="s">
        <v>70</v>
      </c>
      <c r="E5" t="s">
        <v>18</v>
      </c>
      <c r="F5" t="s">
        <v>17</v>
      </c>
      <c r="G5">
        <v>3</v>
      </c>
      <c r="H5" s="10">
        <f>_xlfn.XLOOKUP(E5,Table18[Product],Table18[Unit_Price])</f>
        <v>180</v>
      </c>
      <c r="I5" s="10">
        <f>_xlfn.XLOOKUP(E5,Table18[Product],Table18[Cost_Price])</f>
        <v>90</v>
      </c>
      <c r="J5" s="10">
        <v>50</v>
      </c>
      <c r="K5" s="10">
        <f t="shared" si="1"/>
        <v>490</v>
      </c>
      <c r="L5" s="10">
        <f t="shared" si="2"/>
        <v>220</v>
      </c>
      <c r="M5" t="s">
        <v>61</v>
      </c>
      <c r="N5" t="s">
        <v>50</v>
      </c>
      <c r="O5" t="s">
        <v>65</v>
      </c>
      <c r="P5">
        <v>4</v>
      </c>
    </row>
    <row r="6" spans="1:16" x14ac:dyDescent="0.25">
      <c r="A6" t="str">
        <f t="shared" si="0"/>
        <v>ORD0005</v>
      </c>
      <c r="B6" s="3">
        <v>46367</v>
      </c>
      <c r="C6" t="s">
        <v>77</v>
      </c>
      <c r="D6" t="s">
        <v>74</v>
      </c>
      <c r="E6" t="s">
        <v>18</v>
      </c>
      <c r="F6" t="s">
        <v>17</v>
      </c>
      <c r="G6">
        <v>1</v>
      </c>
      <c r="H6" s="10">
        <f>_xlfn.XLOOKUP(E6,Table18[Product],Table18[Unit_Price])</f>
        <v>180</v>
      </c>
      <c r="I6" s="10">
        <f>_xlfn.XLOOKUP(E6,Table18[Product],Table18[Cost_Price])</f>
        <v>90</v>
      </c>
      <c r="J6" s="10">
        <v>6</v>
      </c>
      <c r="K6" s="10">
        <f t="shared" si="1"/>
        <v>174</v>
      </c>
      <c r="L6" s="10">
        <f t="shared" si="2"/>
        <v>84</v>
      </c>
      <c r="M6" t="s">
        <v>57</v>
      </c>
      <c r="N6" t="s">
        <v>54</v>
      </c>
      <c r="O6" t="s">
        <v>75</v>
      </c>
      <c r="P6">
        <v>3</v>
      </c>
    </row>
    <row r="7" spans="1:16" x14ac:dyDescent="0.25">
      <c r="A7" t="str">
        <f t="shared" si="0"/>
        <v>ORD0006</v>
      </c>
      <c r="B7" s="3">
        <v>46286</v>
      </c>
      <c r="C7" t="s">
        <v>90</v>
      </c>
      <c r="D7" t="s">
        <v>63</v>
      </c>
      <c r="E7" t="s">
        <v>37</v>
      </c>
      <c r="F7" t="s">
        <v>35</v>
      </c>
      <c r="G7">
        <v>2</v>
      </c>
      <c r="H7" s="10">
        <f>_xlfn.XLOOKUP(E7,Table18[Product],Table18[Unit_Price])</f>
        <v>160</v>
      </c>
      <c r="I7" s="10">
        <f>_xlfn.XLOOKUP(E7,Table18[Product],Table18[Cost_Price])</f>
        <v>80</v>
      </c>
      <c r="J7" s="10">
        <v>5</v>
      </c>
      <c r="K7" s="10">
        <f t="shared" si="1"/>
        <v>315</v>
      </c>
      <c r="L7" s="10">
        <f t="shared" si="2"/>
        <v>155</v>
      </c>
      <c r="M7" t="s">
        <v>61</v>
      </c>
      <c r="N7" t="s">
        <v>50</v>
      </c>
      <c r="O7" t="s">
        <v>69</v>
      </c>
      <c r="P7">
        <v>5</v>
      </c>
    </row>
    <row r="8" spans="1:16" x14ac:dyDescent="0.25">
      <c r="A8" t="str">
        <f t="shared" si="0"/>
        <v>ORD0007</v>
      </c>
      <c r="B8" s="3">
        <v>46160</v>
      </c>
      <c r="C8" t="s">
        <v>100</v>
      </c>
      <c r="D8" t="s">
        <v>66</v>
      </c>
      <c r="E8" t="s">
        <v>36</v>
      </c>
      <c r="F8" t="s">
        <v>35</v>
      </c>
      <c r="G8">
        <v>5</v>
      </c>
      <c r="H8" s="10">
        <f>_xlfn.XLOOKUP(E8,Table18[Product],Table18[Unit_Price])</f>
        <v>220</v>
      </c>
      <c r="I8" s="10">
        <f>_xlfn.XLOOKUP(E8,Table18[Product],Table18[Cost_Price])</f>
        <v>110</v>
      </c>
      <c r="J8" s="10">
        <v>28</v>
      </c>
      <c r="K8" s="10">
        <f t="shared" si="1"/>
        <v>1072</v>
      </c>
      <c r="L8" s="10">
        <f t="shared" si="2"/>
        <v>522</v>
      </c>
      <c r="M8" t="s">
        <v>57</v>
      </c>
      <c r="N8" t="s">
        <v>54</v>
      </c>
      <c r="O8" t="s">
        <v>65</v>
      </c>
      <c r="P8">
        <v>4</v>
      </c>
    </row>
    <row r="9" spans="1:16" x14ac:dyDescent="0.25">
      <c r="A9" t="str">
        <f t="shared" si="0"/>
        <v>ORD0008</v>
      </c>
      <c r="B9" s="3">
        <v>46313</v>
      </c>
      <c r="C9" t="s">
        <v>86</v>
      </c>
      <c r="D9" t="s">
        <v>63</v>
      </c>
      <c r="E9" t="s">
        <v>37</v>
      </c>
      <c r="F9" t="s">
        <v>35</v>
      </c>
      <c r="G9">
        <v>3</v>
      </c>
      <c r="H9" s="10">
        <f>_xlfn.XLOOKUP(E9,Table18[Product],Table18[Unit_Price])</f>
        <v>160</v>
      </c>
      <c r="I9" s="10">
        <f>_xlfn.XLOOKUP(E9,Table18[Product],Table18[Cost_Price])</f>
        <v>80</v>
      </c>
      <c r="J9" s="10">
        <v>19</v>
      </c>
      <c r="K9" s="10">
        <f t="shared" si="1"/>
        <v>461</v>
      </c>
      <c r="L9" s="10">
        <f t="shared" si="2"/>
        <v>221</v>
      </c>
      <c r="M9" t="s">
        <v>64</v>
      </c>
      <c r="N9" t="s">
        <v>54</v>
      </c>
      <c r="O9" t="s">
        <v>51</v>
      </c>
      <c r="P9">
        <v>3</v>
      </c>
    </row>
    <row r="10" spans="1:16" x14ac:dyDescent="0.25">
      <c r="A10" t="str">
        <f t="shared" si="0"/>
        <v>ORD0009</v>
      </c>
      <c r="B10" s="3">
        <v>46209</v>
      </c>
      <c r="C10" t="s">
        <v>85</v>
      </c>
      <c r="D10" t="s">
        <v>63</v>
      </c>
      <c r="E10" t="s">
        <v>41</v>
      </c>
      <c r="F10" t="s">
        <v>40</v>
      </c>
      <c r="G10">
        <v>3</v>
      </c>
      <c r="H10" s="10">
        <f>_xlfn.XLOOKUP(E10,Table18[Product],Table18[Unit_Price])</f>
        <v>100</v>
      </c>
      <c r="I10" s="10">
        <f>_xlfn.XLOOKUP(E10,Table18[Product],Table18[Cost_Price])</f>
        <v>50</v>
      </c>
      <c r="J10" s="10">
        <v>33</v>
      </c>
      <c r="K10" s="10">
        <f t="shared" si="1"/>
        <v>267</v>
      </c>
      <c r="L10" s="10">
        <f t="shared" si="2"/>
        <v>117</v>
      </c>
      <c r="M10" t="s">
        <v>53</v>
      </c>
      <c r="N10" t="s">
        <v>58</v>
      </c>
      <c r="O10" t="s">
        <v>62</v>
      </c>
      <c r="P10">
        <v>5</v>
      </c>
    </row>
    <row r="11" spans="1:16" x14ac:dyDescent="0.25">
      <c r="A11" t="str">
        <f t="shared" si="0"/>
        <v>ORD0010</v>
      </c>
      <c r="B11" s="3">
        <v>46029</v>
      </c>
      <c r="C11" t="s">
        <v>91</v>
      </c>
      <c r="D11" t="s">
        <v>66</v>
      </c>
      <c r="E11" t="s">
        <v>20</v>
      </c>
      <c r="F11" t="s">
        <v>17</v>
      </c>
      <c r="G11">
        <v>1</v>
      </c>
      <c r="H11" s="10">
        <f>_xlfn.XLOOKUP(E11,Table18[Product],Table18[Unit_Price])</f>
        <v>150</v>
      </c>
      <c r="I11" s="10">
        <f>_xlfn.XLOOKUP(E11,Table18[Product],Table18[Cost_Price])</f>
        <v>75</v>
      </c>
      <c r="J11" s="10">
        <v>45</v>
      </c>
      <c r="K11" s="10">
        <f t="shared" si="1"/>
        <v>105</v>
      </c>
      <c r="L11" s="10">
        <f t="shared" si="2"/>
        <v>30</v>
      </c>
      <c r="M11" t="s">
        <v>61</v>
      </c>
      <c r="N11" t="s">
        <v>54</v>
      </c>
      <c r="O11" t="s">
        <v>69</v>
      </c>
      <c r="P11">
        <v>4</v>
      </c>
    </row>
    <row r="12" spans="1:16" x14ac:dyDescent="0.25">
      <c r="A12" t="str">
        <f t="shared" si="0"/>
        <v>ORD0011</v>
      </c>
      <c r="B12" s="3">
        <v>46292</v>
      </c>
      <c r="C12" t="s">
        <v>85</v>
      </c>
      <c r="D12" t="s">
        <v>68</v>
      </c>
      <c r="E12" t="s">
        <v>20</v>
      </c>
      <c r="F12" t="s">
        <v>17</v>
      </c>
      <c r="G12">
        <v>1</v>
      </c>
      <c r="H12" s="10">
        <f>_xlfn.XLOOKUP(E12,Table18[Product],Table18[Unit_Price])</f>
        <v>150</v>
      </c>
      <c r="I12" s="10">
        <f>_xlfn.XLOOKUP(E12,Table18[Product],Table18[Cost_Price])</f>
        <v>75</v>
      </c>
      <c r="J12" s="10">
        <v>37</v>
      </c>
      <c r="K12" s="10">
        <f t="shared" si="1"/>
        <v>113</v>
      </c>
      <c r="L12" s="10">
        <f t="shared" si="2"/>
        <v>38</v>
      </c>
      <c r="M12" t="s">
        <v>61</v>
      </c>
      <c r="N12" t="s">
        <v>50</v>
      </c>
      <c r="O12" t="s">
        <v>51</v>
      </c>
      <c r="P12">
        <v>3</v>
      </c>
    </row>
    <row r="13" spans="1:16" x14ac:dyDescent="0.25">
      <c r="A13" t="str">
        <f t="shared" si="0"/>
        <v>ORD0012</v>
      </c>
      <c r="B13" s="3">
        <v>46292</v>
      </c>
      <c r="C13" t="s">
        <v>76</v>
      </c>
      <c r="D13" t="s">
        <v>63</v>
      </c>
      <c r="E13" t="s">
        <v>39</v>
      </c>
      <c r="F13" t="s">
        <v>40</v>
      </c>
      <c r="G13">
        <v>5</v>
      </c>
      <c r="H13" s="10">
        <f>_xlfn.XLOOKUP(E13,Table18[Product],Table18[Unit_Price])</f>
        <v>240</v>
      </c>
      <c r="I13" s="10">
        <f>_xlfn.XLOOKUP(E13,Table18[Product],Table18[Cost_Price])</f>
        <v>120</v>
      </c>
      <c r="J13" s="10">
        <v>3</v>
      </c>
      <c r="K13" s="10">
        <f t="shared" si="1"/>
        <v>1197</v>
      </c>
      <c r="L13" s="10">
        <f t="shared" si="2"/>
        <v>597</v>
      </c>
      <c r="M13" t="s">
        <v>57</v>
      </c>
      <c r="N13" t="s">
        <v>50</v>
      </c>
      <c r="O13" t="s">
        <v>75</v>
      </c>
      <c r="P13">
        <v>3</v>
      </c>
    </row>
    <row r="14" spans="1:16" x14ac:dyDescent="0.25">
      <c r="A14" t="str">
        <f t="shared" si="0"/>
        <v>ORD0013</v>
      </c>
      <c r="B14" s="3">
        <v>46083</v>
      </c>
      <c r="C14" t="s">
        <v>95</v>
      </c>
      <c r="D14" t="s">
        <v>52</v>
      </c>
      <c r="E14" t="s">
        <v>18</v>
      </c>
      <c r="F14" t="s">
        <v>17</v>
      </c>
      <c r="G14">
        <v>3</v>
      </c>
      <c r="H14" s="10">
        <f>_xlfn.XLOOKUP(E14,Table18[Product],Table18[Unit_Price])</f>
        <v>180</v>
      </c>
      <c r="I14" s="10">
        <f>_xlfn.XLOOKUP(E14,Table18[Product],Table18[Cost_Price])</f>
        <v>90</v>
      </c>
      <c r="J14" s="10">
        <v>43</v>
      </c>
      <c r="K14" s="10">
        <f t="shared" si="1"/>
        <v>497</v>
      </c>
      <c r="L14" s="10">
        <f t="shared" si="2"/>
        <v>227</v>
      </c>
      <c r="M14" t="s">
        <v>57</v>
      </c>
      <c r="N14" t="s">
        <v>50</v>
      </c>
      <c r="O14" t="s">
        <v>75</v>
      </c>
      <c r="P14">
        <v>4</v>
      </c>
    </row>
    <row r="15" spans="1:16" x14ac:dyDescent="0.25">
      <c r="A15" t="str">
        <f t="shared" si="0"/>
        <v>ORD0014</v>
      </c>
      <c r="B15" s="3">
        <v>46323</v>
      </c>
      <c r="C15" t="s">
        <v>100</v>
      </c>
      <c r="D15" t="s">
        <v>63</v>
      </c>
      <c r="E15" t="s">
        <v>24</v>
      </c>
      <c r="F15" t="s">
        <v>23</v>
      </c>
      <c r="G15">
        <v>5</v>
      </c>
      <c r="H15" s="10">
        <f>_xlfn.XLOOKUP(E15,Table18[Product],Table18[Unit_Price])</f>
        <v>210</v>
      </c>
      <c r="I15" s="10">
        <f>_xlfn.XLOOKUP(E15,Table18[Product],Table18[Cost_Price])</f>
        <v>105</v>
      </c>
      <c r="J15" s="10">
        <v>22</v>
      </c>
      <c r="K15" s="10">
        <f t="shared" si="1"/>
        <v>1028</v>
      </c>
      <c r="L15" s="10">
        <f t="shared" si="2"/>
        <v>503</v>
      </c>
      <c r="M15" t="s">
        <v>61</v>
      </c>
      <c r="N15" t="s">
        <v>54</v>
      </c>
      <c r="O15" t="s">
        <v>51</v>
      </c>
      <c r="P15">
        <v>5</v>
      </c>
    </row>
    <row r="16" spans="1:16" x14ac:dyDescent="0.25">
      <c r="A16" t="str">
        <f t="shared" si="0"/>
        <v>ORD0015</v>
      </c>
      <c r="B16" s="3">
        <v>46074</v>
      </c>
      <c r="C16" t="s">
        <v>95</v>
      </c>
      <c r="D16" t="s">
        <v>72</v>
      </c>
      <c r="E16" t="s">
        <v>29</v>
      </c>
      <c r="F16" t="s">
        <v>28</v>
      </c>
      <c r="G16">
        <v>3</v>
      </c>
      <c r="H16" s="10">
        <f>_xlfn.XLOOKUP(E16,Table18[Product],Table18[Unit_Price])</f>
        <v>120</v>
      </c>
      <c r="I16" s="10">
        <f>_xlfn.XLOOKUP(E16,Table18[Product],Table18[Cost_Price])</f>
        <v>60</v>
      </c>
      <c r="J16" s="10">
        <v>1</v>
      </c>
      <c r="K16" s="10">
        <f t="shared" si="1"/>
        <v>359</v>
      </c>
      <c r="L16" s="10">
        <f t="shared" si="2"/>
        <v>179</v>
      </c>
      <c r="M16" t="s">
        <v>49</v>
      </c>
      <c r="N16" t="s">
        <v>58</v>
      </c>
      <c r="O16" t="s">
        <v>67</v>
      </c>
      <c r="P16">
        <v>3</v>
      </c>
    </row>
    <row r="17" spans="1:16" x14ac:dyDescent="0.25">
      <c r="A17" t="str">
        <f t="shared" si="0"/>
        <v>ORD0016</v>
      </c>
      <c r="B17" s="3">
        <v>46303</v>
      </c>
      <c r="C17" t="s">
        <v>78</v>
      </c>
      <c r="D17" t="s">
        <v>74</v>
      </c>
      <c r="E17" t="s">
        <v>41</v>
      </c>
      <c r="F17" t="s">
        <v>40</v>
      </c>
      <c r="G17">
        <v>1</v>
      </c>
      <c r="H17" s="10">
        <f>_xlfn.XLOOKUP(E17,Table18[Product],Table18[Unit_Price])</f>
        <v>100</v>
      </c>
      <c r="I17" s="10">
        <f>_xlfn.XLOOKUP(E17,Table18[Product],Table18[Cost_Price])</f>
        <v>50</v>
      </c>
      <c r="J17" s="10">
        <v>36</v>
      </c>
      <c r="K17" s="10">
        <f t="shared" si="1"/>
        <v>64</v>
      </c>
      <c r="L17" s="10">
        <f t="shared" si="2"/>
        <v>14</v>
      </c>
      <c r="M17" t="s">
        <v>53</v>
      </c>
      <c r="N17" t="s">
        <v>50</v>
      </c>
      <c r="O17" t="s">
        <v>59</v>
      </c>
      <c r="P17">
        <v>4</v>
      </c>
    </row>
    <row r="18" spans="1:16" x14ac:dyDescent="0.25">
      <c r="A18" t="str">
        <f t="shared" si="0"/>
        <v>ORD0017</v>
      </c>
      <c r="B18" s="3">
        <v>46027</v>
      </c>
      <c r="C18" t="s">
        <v>81</v>
      </c>
      <c r="D18" t="s">
        <v>60</v>
      </c>
      <c r="E18" t="s">
        <v>18</v>
      </c>
      <c r="F18" t="s">
        <v>17</v>
      </c>
      <c r="G18">
        <v>1</v>
      </c>
      <c r="H18" s="10">
        <f>_xlfn.XLOOKUP(E18,Table18[Product],Table18[Unit_Price])</f>
        <v>180</v>
      </c>
      <c r="I18" s="10">
        <f>_xlfn.XLOOKUP(E18,Table18[Product],Table18[Cost_Price])</f>
        <v>90</v>
      </c>
      <c r="J18" s="10">
        <v>12</v>
      </c>
      <c r="K18" s="10">
        <f t="shared" si="1"/>
        <v>168</v>
      </c>
      <c r="L18" s="10">
        <f t="shared" si="2"/>
        <v>78</v>
      </c>
      <c r="M18" t="s">
        <v>64</v>
      </c>
      <c r="N18" t="s">
        <v>50</v>
      </c>
      <c r="O18" t="s">
        <v>67</v>
      </c>
      <c r="P18">
        <v>4</v>
      </c>
    </row>
    <row r="19" spans="1:16" x14ac:dyDescent="0.25">
      <c r="A19" t="str">
        <f t="shared" si="0"/>
        <v>ORD0018</v>
      </c>
      <c r="B19" s="3">
        <v>46137</v>
      </c>
      <c r="C19" t="s">
        <v>88</v>
      </c>
      <c r="D19" t="s">
        <v>52</v>
      </c>
      <c r="E19" t="s">
        <v>22</v>
      </c>
      <c r="F19" t="s">
        <v>23</v>
      </c>
      <c r="G19">
        <v>2</v>
      </c>
      <c r="H19" s="10">
        <f>_xlfn.XLOOKUP(E19,Table18[Product],Table18[Unit_Price])</f>
        <v>190</v>
      </c>
      <c r="I19" s="10">
        <f>_xlfn.XLOOKUP(E19,Table18[Product],Table18[Cost_Price])</f>
        <v>95</v>
      </c>
      <c r="J19" s="10">
        <v>40</v>
      </c>
      <c r="K19" s="10">
        <f t="shared" si="1"/>
        <v>340</v>
      </c>
      <c r="L19" s="10">
        <f t="shared" si="2"/>
        <v>150</v>
      </c>
      <c r="M19" t="s">
        <v>61</v>
      </c>
      <c r="N19" t="s">
        <v>58</v>
      </c>
      <c r="O19" t="s">
        <v>51</v>
      </c>
      <c r="P19">
        <v>4</v>
      </c>
    </row>
    <row r="20" spans="1:16" x14ac:dyDescent="0.25">
      <c r="A20" t="str">
        <f t="shared" si="0"/>
        <v>ORD0019</v>
      </c>
      <c r="B20" s="3">
        <v>46227</v>
      </c>
      <c r="C20" t="s">
        <v>93</v>
      </c>
      <c r="D20" t="s">
        <v>74</v>
      </c>
      <c r="E20" t="s">
        <v>37</v>
      </c>
      <c r="F20" t="s">
        <v>35</v>
      </c>
      <c r="G20">
        <v>2</v>
      </c>
      <c r="H20" s="10">
        <f>_xlfn.XLOOKUP(E20,Table18[Product],Table18[Unit_Price])</f>
        <v>160</v>
      </c>
      <c r="I20" s="10">
        <f>_xlfn.XLOOKUP(E20,Table18[Product],Table18[Cost_Price])</f>
        <v>80</v>
      </c>
      <c r="J20" s="10">
        <v>33</v>
      </c>
      <c r="K20" s="10">
        <f t="shared" si="1"/>
        <v>287</v>
      </c>
      <c r="L20" s="10">
        <f t="shared" si="2"/>
        <v>127</v>
      </c>
      <c r="M20" t="s">
        <v>61</v>
      </c>
      <c r="N20" t="s">
        <v>54</v>
      </c>
      <c r="O20" t="s">
        <v>73</v>
      </c>
      <c r="P20">
        <v>5</v>
      </c>
    </row>
    <row r="21" spans="1:16" x14ac:dyDescent="0.25">
      <c r="A21" t="str">
        <f t="shared" si="0"/>
        <v>ORD0020</v>
      </c>
      <c r="B21" s="3">
        <v>46305</v>
      </c>
      <c r="C21" t="s">
        <v>100</v>
      </c>
      <c r="D21" t="s">
        <v>72</v>
      </c>
      <c r="E21" t="s">
        <v>19</v>
      </c>
      <c r="F21" t="s">
        <v>17</v>
      </c>
      <c r="G21">
        <v>1</v>
      </c>
      <c r="H21" s="10">
        <f>_xlfn.XLOOKUP(E21,Table18[Product],Table18[Unit_Price])</f>
        <v>200</v>
      </c>
      <c r="I21" s="10">
        <f>_xlfn.XLOOKUP(E21,Table18[Product],Table18[Cost_Price])</f>
        <v>100</v>
      </c>
      <c r="J21" s="10">
        <v>48</v>
      </c>
      <c r="K21" s="10">
        <f t="shared" si="1"/>
        <v>152</v>
      </c>
      <c r="L21" s="10">
        <f t="shared" si="2"/>
        <v>52</v>
      </c>
      <c r="M21" t="s">
        <v>57</v>
      </c>
      <c r="N21" t="s">
        <v>50</v>
      </c>
      <c r="O21" t="s">
        <v>71</v>
      </c>
      <c r="P21">
        <v>4</v>
      </c>
    </row>
    <row r="22" spans="1:16" x14ac:dyDescent="0.25">
      <c r="A22" t="str">
        <f t="shared" si="0"/>
        <v>ORD0021</v>
      </c>
      <c r="B22" s="3">
        <v>46029</v>
      </c>
      <c r="C22" t="s">
        <v>105</v>
      </c>
      <c r="D22" t="s">
        <v>52</v>
      </c>
      <c r="E22" t="s">
        <v>38</v>
      </c>
      <c r="F22" t="s">
        <v>35</v>
      </c>
      <c r="G22">
        <v>2</v>
      </c>
      <c r="H22" s="10">
        <f>_xlfn.XLOOKUP(E22,Table18[Product],Table18[Unit_Price])</f>
        <v>170</v>
      </c>
      <c r="I22" s="10">
        <f>_xlfn.XLOOKUP(E22,Table18[Product],Table18[Cost_Price])</f>
        <v>85</v>
      </c>
      <c r="J22" s="10">
        <v>17</v>
      </c>
      <c r="K22" s="10">
        <f t="shared" si="1"/>
        <v>323</v>
      </c>
      <c r="L22" s="10">
        <f t="shared" si="2"/>
        <v>153</v>
      </c>
      <c r="M22" t="s">
        <v>53</v>
      </c>
      <c r="N22" t="s">
        <v>54</v>
      </c>
      <c r="O22" t="s">
        <v>75</v>
      </c>
      <c r="P22">
        <v>3</v>
      </c>
    </row>
    <row r="23" spans="1:16" x14ac:dyDescent="0.25">
      <c r="A23" t="str">
        <f t="shared" si="0"/>
        <v>ORD0022</v>
      </c>
      <c r="B23" s="3">
        <v>46139</v>
      </c>
      <c r="C23" t="s">
        <v>84</v>
      </c>
      <c r="D23" t="s">
        <v>52</v>
      </c>
      <c r="E23" t="s">
        <v>39</v>
      </c>
      <c r="F23" t="s">
        <v>40</v>
      </c>
      <c r="G23">
        <v>5</v>
      </c>
      <c r="H23" s="10">
        <f>_xlfn.XLOOKUP(E23,Table18[Product],Table18[Unit_Price])</f>
        <v>240</v>
      </c>
      <c r="I23" s="10">
        <f>_xlfn.XLOOKUP(E23,Table18[Product],Table18[Cost_Price])</f>
        <v>120</v>
      </c>
      <c r="J23" s="10">
        <v>1</v>
      </c>
      <c r="K23" s="10">
        <f t="shared" si="1"/>
        <v>1199</v>
      </c>
      <c r="L23" s="10">
        <f t="shared" si="2"/>
        <v>599</v>
      </c>
      <c r="M23" t="s">
        <v>57</v>
      </c>
      <c r="N23" t="s">
        <v>58</v>
      </c>
      <c r="O23" t="s">
        <v>59</v>
      </c>
      <c r="P23">
        <v>3</v>
      </c>
    </row>
    <row r="24" spans="1:16" x14ac:dyDescent="0.25">
      <c r="A24" t="str">
        <f t="shared" si="0"/>
        <v>ORD0023</v>
      </c>
      <c r="B24" s="3">
        <v>46372</v>
      </c>
      <c r="C24" t="s">
        <v>85</v>
      </c>
      <c r="D24" t="s">
        <v>56</v>
      </c>
      <c r="E24" t="s">
        <v>37</v>
      </c>
      <c r="F24" t="s">
        <v>35</v>
      </c>
      <c r="G24">
        <v>1</v>
      </c>
      <c r="H24" s="10">
        <f>_xlfn.XLOOKUP(E24,Table18[Product],Table18[Unit_Price])</f>
        <v>160</v>
      </c>
      <c r="I24" s="10">
        <f>_xlfn.XLOOKUP(E24,Table18[Product],Table18[Cost_Price])</f>
        <v>80</v>
      </c>
      <c r="J24" s="10">
        <v>32</v>
      </c>
      <c r="K24" s="10">
        <f t="shared" si="1"/>
        <v>128</v>
      </c>
      <c r="L24" s="10">
        <f t="shared" si="2"/>
        <v>48</v>
      </c>
      <c r="M24" t="s">
        <v>61</v>
      </c>
      <c r="N24" t="s">
        <v>50</v>
      </c>
      <c r="O24" t="s">
        <v>67</v>
      </c>
      <c r="P24">
        <v>4</v>
      </c>
    </row>
    <row r="25" spans="1:16" x14ac:dyDescent="0.25">
      <c r="A25" t="str">
        <f t="shared" si="0"/>
        <v>ORD0024</v>
      </c>
      <c r="B25" s="3">
        <v>46105</v>
      </c>
      <c r="C25" t="s">
        <v>92</v>
      </c>
      <c r="D25" t="s">
        <v>66</v>
      </c>
      <c r="E25" t="s">
        <v>33</v>
      </c>
      <c r="F25" t="s">
        <v>31</v>
      </c>
      <c r="G25">
        <v>3</v>
      </c>
      <c r="H25" s="10">
        <f>_xlfn.XLOOKUP(E25,Table18[Product],Table18[Unit_Price])</f>
        <v>150</v>
      </c>
      <c r="I25" s="10">
        <f>_xlfn.XLOOKUP(E25,Table18[Product],Table18[Cost_Price])</f>
        <v>75</v>
      </c>
      <c r="J25" s="10">
        <v>48</v>
      </c>
      <c r="K25" s="10">
        <f t="shared" si="1"/>
        <v>402</v>
      </c>
      <c r="L25" s="10">
        <f t="shared" si="2"/>
        <v>177</v>
      </c>
      <c r="M25" t="s">
        <v>57</v>
      </c>
      <c r="N25" t="s">
        <v>50</v>
      </c>
      <c r="O25" t="s">
        <v>59</v>
      </c>
      <c r="P25">
        <v>4</v>
      </c>
    </row>
    <row r="26" spans="1:16" x14ac:dyDescent="0.25">
      <c r="A26" t="str">
        <f t="shared" si="0"/>
        <v>ORD0025</v>
      </c>
      <c r="B26" s="3">
        <v>46070</v>
      </c>
      <c r="C26" t="s">
        <v>103</v>
      </c>
      <c r="D26" t="s">
        <v>74</v>
      </c>
      <c r="E26" t="s">
        <v>22</v>
      </c>
      <c r="F26" t="s">
        <v>23</v>
      </c>
      <c r="G26">
        <v>1</v>
      </c>
      <c r="H26" s="10">
        <f>_xlfn.XLOOKUP(E26,Table18[Product],Table18[Unit_Price])</f>
        <v>190</v>
      </c>
      <c r="I26" s="10">
        <f>_xlfn.XLOOKUP(E26,Table18[Product],Table18[Cost_Price])</f>
        <v>95</v>
      </c>
      <c r="J26" s="10">
        <v>0</v>
      </c>
      <c r="K26" s="10">
        <f t="shared" si="1"/>
        <v>190</v>
      </c>
      <c r="L26" s="10">
        <f t="shared" si="2"/>
        <v>95</v>
      </c>
      <c r="M26" t="s">
        <v>64</v>
      </c>
      <c r="N26" t="s">
        <v>50</v>
      </c>
      <c r="O26" t="s">
        <v>71</v>
      </c>
      <c r="P26">
        <v>4</v>
      </c>
    </row>
    <row r="27" spans="1:16" x14ac:dyDescent="0.25">
      <c r="A27" t="str">
        <f t="shared" si="0"/>
        <v>ORD0026</v>
      </c>
      <c r="B27" s="3">
        <v>46129</v>
      </c>
      <c r="C27" t="s">
        <v>100</v>
      </c>
      <c r="D27" t="s">
        <v>52</v>
      </c>
      <c r="E27" t="s">
        <v>32</v>
      </c>
      <c r="F27" t="s">
        <v>31</v>
      </c>
      <c r="G27">
        <v>4</v>
      </c>
      <c r="H27" s="10">
        <f>_xlfn.XLOOKUP(E27,Table18[Product],Table18[Unit_Price])</f>
        <v>130</v>
      </c>
      <c r="I27" s="10">
        <f>_xlfn.XLOOKUP(E27,Table18[Product],Table18[Cost_Price])</f>
        <v>65</v>
      </c>
      <c r="J27" s="10">
        <v>34</v>
      </c>
      <c r="K27" s="10">
        <f t="shared" si="1"/>
        <v>486</v>
      </c>
      <c r="L27" s="10">
        <f t="shared" si="2"/>
        <v>226</v>
      </c>
      <c r="M27" t="s">
        <v>49</v>
      </c>
      <c r="N27" t="s">
        <v>58</v>
      </c>
      <c r="O27" t="s">
        <v>67</v>
      </c>
      <c r="P27">
        <v>4</v>
      </c>
    </row>
    <row r="28" spans="1:16" x14ac:dyDescent="0.25">
      <c r="A28" t="str">
        <f t="shared" si="0"/>
        <v>ORD0027</v>
      </c>
      <c r="B28" s="3">
        <v>46208</v>
      </c>
      <c r="C28" t="s">
        <v>96</v>
      </c>
      <c r="D28" t="s">
        <v>63</v>
      </c>
      <c r="E28" t="s">
        <v>21</v>
      </c>
      <c r="F28" t="s">
        <v>17</v>
      </c>
      <c r="G28">
        <v>2</v>
      </c>
      <c r="H28" s="10">
        <f>_xlfn.XLOOKUP(E28,Table18[Product],Table18[Unit_Price])</f>
        <v>220</v>
      </c>
      <c r="I28" s="10">
        <f>_xlfn.XLOOKUP(E28,Table18[Product],Table18[Cost_Price])</f>
        <v>110</v>
      </c>
      <c r="J28" s="10">
        <v>11</v>
      </c>
      <c r="K28" s="10">
        <f t="shared" si="1"/>
        <v>429</v>
      </c>
      <c r="L28" s="10">
        <f t="shared" si="2"/>
        <v>209</v>
      </c>
      <c r="M28" t="s">
        <v>61</v>
      </c>
      <c r="N28" t="s">
        <v>54</v>
      </c>
      <c r="O28" t="s">
        <v>73</v>
      </c>
      <c r="P28">
        <v>4</v>
      </c>
    </row>
    <row r="29" spans="1:16" x14ac:dyDescent="0.25">
      <c r="A29" t="str">
        <f t="shared" si="0"/>
        <v>ORD0028</v>
      </c>
      <c r="B29" s="3">
        <v>46224</v>
      </c>
      <c r="C29" t="s">
        <v>103</v>
      </c>
      <c r="D29" t="s">
        <v>52</v>
      </c>
      <c r="E29" t="s">
        <v>36</v>
      </c>
      <c r="F29" t="s">
        <v>35</v>
      </c>
      <c r="G29">
        <v>4</v>
      </c>
      <c r="H29" s="10">
        <f>_xlfn.XLOOKUP(E29,Table18[Product],Table18[Unit_Price])</f>
        <v>220</v>
      </c>
      <c r="I29" s="10">
        <f>_xlfn.XLOOKUP(E29,Table18[Product],Table18[Cost_Price])</f>
        <v>110</v>
      </c>
      <c r="J29" s="10">
        <v>30</v>
      </c>
      <c r="K29" s="10">
        <f t="shared" si="1"/>
        <v>850</v>
      </c>
      <c r="L29" s="10">
        <f t="shared" si="2"/>
        <v>410</v>
      </c>
      <c r="M29" t="s">
        <v>49</v>
      </c>
      <c r="N29" t="s">
        <v>54</v>
      </c>
      <c r="O29" t="s">
        <v>51</v>
      </c>
      <c r="P29">
        <v>4</v>
      </c>
    </row>
    <row r="30" spans="1:16" x14ac:dyDescent="0.25">
      <c r="A30" t="str">
        <f t="shared" si="0"/>
        <v>ORD0029</v>
      </c>
      <c r="B30" s="3">
        <v>46027</v>
      </c>
      <c r="C30" t="s">
        <v>98</v>
      </c>
      <c r="D30" t="s">
        <v>56</v>
      </c>
      <c r="E30" t="s">
        <v>16</v>
      </c>
      <c r="F30" t="s">
        <v>17</v>
      </c>
      <c r="G30">
        <v>1</v>
      </c>
      <c r="H30" s="10">
        <f>_xlfn.XLOOKUP(E30,Table18[Product],Table18[Unit_Price])</f>
        <v>120</v>
      </c>
      <c r="I30" s="10">
        <f>_xlfn.XLOOKUP(E30,Table18[Product],Table18[Cost_Price])</f>
        <v>60</v>
      </c>
      <c r="J30" s="10">
        <v>11</v>
      </c>
      <c r="K30" s="10">
        <f t="shared" si="1"/>
        <v>109</v>
      </c>
      <c r="L30" s="10">
        <f t="shared" si="2"/>
        <v>49</v>
      </c>
      <c r="M30" t="s">
        <v>53</v>
      </c>
      <c r="N30" t="s">
        <v>54</v>
      </c>
      <c r="O30" t="s">
        <v>62</v>
      </c>
      <c r="P30">
        <v>4</v>
      </c>
    </row>
    <row r="31" spans="1:16" x14ac:dyDescent="0.25">
      <c r="A31" t="str">
        <f t="shared" si="0"/>
        <v>ORD0030</v>
      </c>
      <c r="B31" s="3">
        <v>46375</v>
      </c>
      <c r="C31" t="s">
        <v>84</v>
      </c>
      <c r="D31" t="s">
        <v>66</v>
      </c>
      <c r="E31" t="s">
        <v>41</v>
      </c>
      <c r="F31" t="s">
        <v>40</v>
      </c>
      <c r="G31">
        <v>5</v>
      </c>
      <c r="H31" s="10">
        <f>_xlfn.XLOOKUP(E31,Table18[Product],Table18[Unit_Price])</f>
        <v>100</v>
      </c>
      <c r="I31" s="10">
        <f>_xlfn.XLOOKUP(E31,Table18[Product],Table18[Cost_Price])</f>
        <v>50</v>
      </c>
      <c r="J31" s="10">
        <v>35</v>
      </c>
      <c r="K31" s="10">
        <f t="shared" si="1"/>
        <v>465</v>
      </c>
      <c r="L31" s="10">
        <f t="shared" si="2"/>
        <v>215</v>
      </c>
      <c r="M31" t="s">
        <v>53</v>
      </c>
      <c r="N31" t="s">
        <v>50</v>
      </c>
      <c r="O31" t="s">
        <v>75</v>
      </c>
      <c r="P31">
        <v>4</v>
      </c>
    </row>
    <row r="32" spans="1:16" x14ac:dyDescent="0.25">
      <c r="A32" t="str">
        <f t="shared" si="0"/>
        <v>ORD0031</v>
      </c>
      <c r="B32" s="3">
        <v>46152</v>
      </c>
      <c r="C32" t="s">
        <v>88</v>
      </c>
      <c r="D32" t="s">
        <v>48</v>
      </c>
      <c r="E32" t="s">
        <v>41</v>
      </c>
      <c r="F32" t="s">
        <v>40</v>
      </c>
      <c r="G32">
        <v>2</v>
      </c>
      <c r="H32" s="10">
        <f>_xlfn.XLOOKUP(E32,Table18[Product],Table18[Unit_Price])</f>
        <v>100</v>
      </c>
      <c r="I32" s="10">
        <f>_xlfn.XLOOKUP(E32,Table18[Product],Table18[Cost_Price])</f>
        <v>50</v>
      </c>
      <c r="J32" s="10">
        <v>38</v>
      </c>
      <c r="K32" s="10">
        <f t="shared" si="1"/>
        <v>162</v>
      </c>
      <c r="L32" s="10">
        <f t="shared" si="2"/>
        <v>62</v>
      </c>
      <c r="M32" t="s">
        <v>61</v>
      </c>
      <c r="N32" t="s">
        <v>50</v>
      </c>
      <c r="O32" t="s">
        <v>55</v>
      </c>
      <c r="P32">
        <v>5</v>
      </c>
    </row>
    <row r="33" spans="1:16" x14ac:dyDescent="0.25">
      <c r="A33" t="str">
        <f t="shared" si="0"/>
        <v>ORD0032</v>
      </c>
      <c r="B33" s="3">
        <v>46027</v>
      </c>
      <c r="C33" t="s">
        <v>101</v>
      </c>
      <c r="D33" t="s">
        <v>70</v>
      </c>
      <c r="E33" t="s">
        <v>41</v>
      </c>
      <c r="F33" t="s">
        <v>40</v>
      </c>
      <c r="G33">
        <v>5</v>
      </c>
      <c r="H33" s="10">
        <f>_xlfn.XLOOKUP(E33,Table18[Product],Table18[Unit_Price])</f>
        <v>100</v>
      </c>
      <c r="I33" s="10">
        <f>_xlfn.XLOOKUP(E33,Table18[Product],Table18[Cost_Price])</f>
        <v>50</v>
      </c>
      <c r="J33" s="10">
        <v>40</v>
      </c>
      <c r="K33" s="10">
        <f t="shared" si="1"/>
        <v>460</v>
      </c>
      <c r="L33" s="10">
        <f t="shared" si="2"/>
        <v>210</v>
      </c>
      <c r="M33" t="s">
        <v>64</v>
      </c>
      <c r="N33" t="s">
        <v>58</v>
      </c>
      <c r="O33" t="s">
        <v>59</v>
      </c>
      <c r="P33">
        <v>4</v>
      </c>
    </row>
    <row r="34" spans="1:16" x14ac:dyDescent="0.25">
      <c r="A34" t="str">
        <f t="shared" si="0"/>
        <v>ORD0033</v>
      </c>
      <c r="B34" s="3">
        <v>46095</v>
      </c>
      <c r="C34" t="s">
        <v>94</v>
      </c>
      <c r="D34" t="s">
        <v>74</v>
      </c>
      <c r="E34" t="s">
        <v>30</v>
      </c>
      <c r="F34" t="s">
        <v>31</v>
      </c>
      <c r="G34">
        <v>5</v>
      </c>
      <c r="H34" s="10">
        <f>_xlfn.XLOOKUP(E34,Table18[Product],Table18[Unit_Price])</f>
        <v>110</v>
      </c>
      <c r="I34" s="10">
        <f>_xlfn.XLOOKUP(E34,Table18[Product],Table18[Cost_Price])</f>
        <v>55</v>
      </c>
      <c r="J34" s="10">
        <v>21</v>
      </c>
      <c r="K34" s="10">
        <f t="shared" si="1"/>
        <v>529</v>
      </c>
      <c r="L34" s="10">
        <f t="shared" si="2"/>
        <v>254</v>
      </c>
      <c r="M34" t="s">
        <v>57</v>
      </c>
      <c r="N34" t="s">
        <v>54</v>
      </c>
      <c r="O34" t="s">
        <v>73</v>
      </c>
      <c r="P34">
        <v>3</v>
      </c>
    </row>
    <row r="35" spans="1:16" x14ac:dyDescent="0.25">
      <c r="A35" t="str">
        <f t="shared" si="0"/>
        <v>ORD0034</v>
      </c>
      <c r="B35" s="3">
        <v>46344</v>
      </c>
      <c r="C35" t="s">
        <v>101</v>
      </c>
      <c r="D35" t="s">
        <v>66</v>
      </c>
      <c r="E35" t="s">
        <v>21</v>
      </c>
      <c r="F35" t="s">
        <v>17</v>
      </c>
      <c r="G35">
        <v>5</v>
      </c>
      <c r="H35" s="10">
        <f>_xlfn.XLOOKUP(E35,Table18[Product],Table18[Unit_Price])</f>
        <v>220</v>
      </c>
      <c r="I35" s="10">
        <f>_xlfn.XLOOKUP(E35,Table18[Product],Table18[Cost_Price])</f>
        <v>110</v>
      </c>
      <c r="J35" s="10">
        <v>40</v>
      </c>
      <c r="K35" s="10">
        <f t="shared" si="1"/>
        <v>1060</v>
      </c>
      <c r="L35" s="10">
        <f t="shared" si="2"/>
        <v>510</v>
      </c>
      <c r="M35" t="s">
        <v>64</v>
      </c>
      <c r="N35" t="s">
        <v>50</v>
      </c>
      <c r="O35" t="s">
        <v>65</v>
      </c>
      <c r="P35">
        <v>5</v>
      </c>
    </row>
    <row r="36" spans="1:16" x14ac:dyDescent="0.25">
      <c r="A36" t="str">
        <f t="shared" si="0"/>
        <v>ORD0035</v>
      </c>
      <c r="B36" s="3">
        <v>46027</v>
      </c>
      <c r="C36" t="s">
        <v>95</v>
      </c>
      <c r="D36" t="s">
        <v>52</v>
      </c>
      <c r="E36" t="s">
        <v>22</v>
      </c>
      <c r="F36" t="s">
        <v>23</v>
      </c>
      <c r="G36">
        <v>5</v>
      </c>
      <c r="H36" s="10">
        <f>_xlfn.XLOOKUP(E36,Table18[Product],Table18[Unit_Price])</f>
        <v>190</v>
      </c>
      <c r="I36" s="10">
        <f>_xlfn.XLOOKUP(E36,Table18[Product],Table18[Cost_Price])</f>
        <v>95</v>
      </c>
      <c r="J36" s="10">
        <v>43</v>
      </c>
      <c r="K36" s="10">
        <f t="shared" si="1"/>
        <v>907</v>
      </c>
      <c r="L36" s="10">
        <f t="shared" si="2"/>
        <v>432</v>
      </c>
      <c r="M36" t="s">
        <v>49</v>
      </c>
      <c r="N36" t="s">
        <v>58</v>
      </c>
      <c r="O36" t="s">
        <v>59</v>
      </c>
      <c r="P36">
        <v>3</v>
      </c>
    </row>
    <row r="37" spans="1:16" x14ac:dyDescent="0.25">
      <c r="A37" t="str">
        <f t="shared" si="0"/>
        <v>ORD0036</v>
      </c>
      <c r="B37" s="3">
        <v>46238</v>
      </c>
      <c r="C37" t="s">
        <v>94</v>
      </c>
      <c r="D37" t="s">
        <v>70</v>
      </c>
      <c r="E37" t="s">
        <v>24</v>
      </c>
      <c r="F37" t="s">
        <v>23</v>
      </c>
      <c r="G37">
        <v>2</v>
      </c>
      <c r="H37" s="10">
        <f>_xlfn.XLOOKUP(E37,Table18[Product],Table18[Unit_Price])</f>
        <v>210</v>
      </c>
      <c r="I37" s="10">
        <f>_xlfn.XLOOKUP(E37,Table18[Product],Table18[Cost_Price])</f>
        <v>105</v>
      </c>
      <c r="J37" s="10">
        <v>20</v>
      </c>
      <c r="K37" s="10">
        <f t="shared" si="1"/>
        <v>400</v>
      </c>
      <c r="L37" s="10">
        <f t="shared" si="2"/>
        <v>190</v>
      </c>
      <c r="M37" t="s">
        <v>57</v>
      </c>
      <c r="N37" t="s">
        <v>50</v>
      </c>
      <c r="O37" t="s">
        <v>75</v>
      </c>
      <c r="P37">
        <v>4</v>
      </c>
    </row>
    <row r="38" spans="1:16" x14ac:dyDescent="0.25">
      <c r="A38" t="str">
        <f t="shared" si="0"/>
        <v>ORD0037</v>
      </c>
      <c r="B38" s="3">
        <v>46277</v>
      </c>
      <c r="C38" t="s">
        <v>103</v>
      </c>
      <c r="D38" t="s">
        <v>60</v>
      </c>
      <c r="E38" t="s">
        <v>37</v>
      </c>
      <c r="F38" t="s">
        <v>35</v>
      </c>
      <c r="G38">
        <v>4</v>
      </c>
      <c r="H38" s="10">
        <f>_xlfn.XLOOKUP(E38,Table18[Product],Table18[Unit_Price])</f>
        <v>160</v>
      </c>
      <c r="I38" s="10">
        <f>_xlfn.XLOOKUP(E38,Table18[Product],Table18[Cost_Price])</f>
        <v>80</v>
      </c>
      <c r="J38" s="10">
        <v>1</v>
      </c>
      <c r="K38" s="10">
        <f t="shared" si="1"/>
        <v>639</v>
      </c>
      <c r="L38" s="10">
        <f t="shared" si="2"/>
        <v>319</v>
      </c>
      <c r="M38" t="s">
        <v>64</v>
      </c>
      <c r="N38" t="s">
        <v>54</v>
      </c>
      <c r="O38" t="s">
        <v>73</v>
      </c>
      <c r="P38">
        <v>5</v>
      </c>
    </row>
    <row r="39" spans="1:16" x14ac:dyDescent="0.25">
      <c r="A39" t="str">
        <f t="shared" si="0"/>
        <v>ORD0038</v>
      </c>
      <c r="B39" s="3">
        <v>46284</v>
      </c>
      <c r="C39" t="s">
        <v>77</v>
      </c>
      <c r="D39" t="s">
        <v>52</v>
      </c>
      <c r="E39" t="s">
        <v>30</v>
      </c>
      <c r="F39" t="s">
        <v>31</v>
      </c>
      <c r="G39">
        <v>1</v>
      </c>
      <c r="H39" s="10">
        <f>_xlfn.XLOOKUP(E39,Table18[Product],Table18[Unit_Price])</f>
        <v>110</v>
      </c>
      <c r="I39" s="10">
        <f>_xlfn.XLOOKUP(E39,Table18[Product],Table18[Cost_Price])</f>
        <v>55</v>
      </c>
      <c r="J39" s="10">
        <v>0</v>
      </c>
      <c r="K39" s="10">
        <f t="shared" si="1"/>
        <v>110</v>
      </c>
      <c r="L39" s="10">
        <f t="shared" si="2"/>
        <v>55</v>
      </c>
      <c r="M39" t="s">
        <v>57</v>
      </c>
      <c r="N39" t="s">
        <v>58</v>
      </c>
      <c r="O39" t="s">
        <v>73</v>
      </c>
      <c r="P39">
        <v>3</v>
      </c>
    </row>
    <row r="40" spans="1:16" x14ac:dyDescent="0.25">
      <c r="A40" t="str">
        <f t="shared" si="0"/>
        <v>ORD0039</v>
      </c>
      <c r="B40" s="3">
        <v>46114</v>
      </c>
      <c r="C40" t="s">
        <v>95</v>
      </c>
      <c r="D40" t="s">
        <v>48</v>
      </c>
      <c r="E40" t="s">
        <v>34</v>
      </c>
      <c r="F40" t="s">
        <v>35</v>
      </c>
      <c r="G40">
        <v>3</v>
      </c>
      <c r="H40" s="10">
        <f>_xlfn.XLOOKUP(E40,Table18[Product],Table18[Unit_Price])</f>
        <v>180</v>
      </c>
      <c r="I40" s="10">
        <f>_xlfn.XLOOKUP(E40,Table18[Product],Table18[Cost_Price])</f>
        <v>90</v>
      </c>
      <c r="J40" s="10">
        <v>43</v>
      </c>
      <c r="K40" s="10">
        <f t="shared" si="1"/>
        <v>497</v>
      </c>
      <c r="L40" s="10">
        <f t="shared" si="2"/>
        <v>227</v>
      </c>
      <c r="M40" t="s">
        <v>53</v>
      </c>
      <c r="N40" t="s">
        <v>58</v>
      </c>
      <c r="O40" t="s">
        <v>73</v>
      </c>
      <c r="P40">
        <v>5</v>
      </c>
    </row>
    <row r="41" spans="1:16" x14ac:dyDescent="0.25">
      <c r="A41" t="str">
        <f t="shared" si="0"/>
        <v>ORD0040</v>
      </c>
      <c r="B41" s="3">
        <v>46035</v>
      </c>
      <c r="C41" t="s">
        <v>103</v>
      </c>
      <c r="D41" t="s">
        <v>70</v>
      </c>
      <c r="E41" t="s">
        <v>36</v>
      </c>
      <c r="F41" t="s">
        <v>35</v>
      </c>
      <c r="G41">
        <v>3</v>
      </c>
      <c r="H41" s="10">
        <f>_xlfn.XLOOKUP(E41,Table18[Product],Table18[Unit_Price])</f>
        <v>220</v>
      </c>
      <c r="I41" s="10">
        <f>_xlfn.XLOOKUP(E41,Table18[Product],Table18[Cost_Price])</f>
        <v>110</v>
      </c>
      <c r="J41" s="10">
        <v>25</v>
      </c>
      <c r="K41" s="10">
        <f t="shared" si="1"/>
        <v>635</v>
      </c>
      <c r="L41" s="10">
        <f t="shared" si="2"/>
        <v>305</v>
      </c>
      <c r="M41" t="s">
        <v>53</v>
      </c>
      <c r="N41" t="s">
        <v>50</v>
      </c>
      <c r="O41" t="s">
        <v>71</v>
      </c>
      <c r="P41">
        <v>5</v>
      </c>
    </row>
    <row r="42" spans="1:16" x14ac:dyDescent="0.25">
      <c r="A42" t="str">
        <f t="shared" si="0"/>
        <v>ORD0041</v>
      </c>
      <c r="B42" s="3">
        <v>46164</v>
      </c>
      <c r="C42" t="s">
        <v>105</v>
      </c>
      <c r="D42" t="s">
        <v>56</v>
      </c>
      <c r="E42" t="s">
        <v>16</v>
      </c>
      <c r="F42" t="s">
        <v>17</v>
      </c>
      <c r="G42">
        <v>1</v>
      </c>
      <c r="H42" s="10">
        <f>_xlfn.XLOOKUP(E42,Table18[Product],Table18[Unit_Price])</f>
        <v>120</v>
      </c>
      <c r="I42" s="10">
        <f>_xlfn.XLOOKUP(E42,Table18[Product],Table18[Cost_Price])</f>
        <v>60</v>
      </c>
      <c r="J42" s="10">
        <v>21</v>
      </c>
      <c r="K42" s="10">
        <f t="shared" si="1"/>
        <v>99</v>
      </c>
      <c r="L42" s="10">
        <f t="shared" si="2"/>
        <v>39</v>
      </c>
      <c r="M42" t="s">
        <v>49</v>
      </c>
      <c r="N42" t="s">
        <v>58</v>
      </c>
      <c r="O42" t="s">
        <v>51</v>
      </c>
      <c r="P42">
        <v>4</v>
      </c>
    </row>
    <row r="43" spans="1:16" x14ac:dyDescent="0.25">
      <c r="A43" t="str">
        <f t="shared" si="0"/>
        <v>ORD0042</v>
      </c>
      <c r="B43" s="3">
        <v>46377</v>
      </c>
      <c r="C43" t="s">
        <v>81</v>
      </c>
      <c r="D43" t="s">
        <v>63</v>
      </c>
      <c r="E43" t="s">
        <v>25</v>
      </c>
      <c r="F43" t="s">
        <v>26</v>
      </c>
      <c r="G43">
        <v>3</v>
      </c>
      <c r="H43" s="10">
        <f>_xlfn.XLOOKUP(E43,Table18[Product],Table18[Unit_Price])</f>
        <v>170</v>
      </c>
      <c r="I43" s="10">
        <f>_xlfn.XLOOKUP(E43,Table18[Product],Table18[Cost_Price])</f>
        <v>85</v>
      </c>
      <c r="J43" s="10">
        <v>12</v>
      </c>
      <c r="K43" s="10">
        <f t="shared" si="1"/>
        <v>498</v>
      </c>
      <c r="L43" s="10">
        <f t="shared" si="2"/>
        <v>243</v>
      </c>
      <c r="M43" t="s">
        <v>57</v>
      </c>
      <c r="N43" t="s">
        <v>58</v>
      </c>
      <c r="O43" t="s">
        <v>73</v>
      </c>
      <c r="P43">
        <v>3</v>
      </c>
    </row>
    <row r="44" spans="1:16" x14ac:dyDescent="0.25">
      <c r="A44" t="str">
        <f t="shared" si="0"/>
        <v>ORD0043</v>
      </c>
      <c r="B44" s="3">
        <v>46042</v>
      </c>
      <c r="C44" t="s">
        <v>81</v>
      </c>
      <c r="D44" t="s">
        <v>72</v>
      </c>
      <c r="E44" t="s">
        <v>21</v>
      </c>
      <c r="F44" t="s">
        <v>17</v>
      </c>
      <c r="G44">
        <v>4</v>
      </c>
      <c r="H44" s="10">
        <f>_xlfn.XLOOKUP(E44,Table18[Product],Table18[Unit_Price])</f>
        <v>220</v>
      </c>
      <c r="I44" s="10">
        <f>_xlfn.XLOOKUP(E44,Table18[Product],Table18[Cost_Price])</f>
        <v>110</v>
      </c>
      <c r="J44" s="10">
        <v>18</v>
      </c>
      <c r="K44" s="10">
        <f t="shared" si="1"/>
        <v>862</v>
      </c>
      <c r="L44" s="10">
        <f t="shared" si="2"/>
        <v>422</v>
      </c>
      <c r="M44" t="s">
        <v>64</v>
      </c>
      <c r="N44" t="s">
        <v>58</v>
      </c>
      <c r="O44" t="s">
        <v>73</v>
      </c>
      <c r="P44">
        <v>4</v>
      </c>
    </row>
    <row r="45" spans="1:16" x14ac:dyDescent="0.25">
      <c r="A45" t="str">
        <f t="shared" si="0"/>
        <v>ORD0044</v>
      </c>
      <c r="B45" s="3">
        <v>46363</v>
      </c>
      <c r="C45" t="s">
        <v>102</v>
      </c>
      <c r="D45" t="s">
        <v>56</v>
      </c>
      <c r="E45" t="s">
        <v>20</v>
      </c>
      <c r="F45" t="s">
        <v>17</v>
      </c>
      <c r="G45">
        <v>5</v>
      </c>
      <c r="H45" s="10">
        <f>_xlfn.XLOOKUP(E45,Table18[Product],Table18[Unit_Price])</f>
        <v>150</v>
      </c>
      <c r="I45" s="10">
        <f>_xlfn.XLOOKUP(E45,Table18[Product],Table18[Cost_Price])</f>
        <v>75</v>
      </c>
      <c r="J45" s="10">
        <v>12</v>
      </c>
      <c r="K45" s="10">
        <f t="shared" si="1"/>
        <v>738</v>
      </c>
      <c r="L45" s="10">
        <f t="shared" si="2"/>
        <v>363</v>
      </c>
      <c r="M45" t="s">
        <v>57</v>
      </c>
      <c r="N45" t="s">
        <v>58</v>
      </c>
      <c r="O45" t="s">
        <v>67</v>
      </c>
      <c r="P45">
        <v>4</v>
      </c>
    </row>
    <row r="46" spans="1:16" x14ac:dyDescent="0.25">
      <c r="A46" t="str">
        <f t="shared" si="0"/>
        <v>ORD0045</v>
      </c>
      <c r="B46" s="3">
        <v>46181</v>
      </c>
      <c r="C46" t="s">
        <v>97</v>
      </c>
      <c r="D46" t="s">
        <v>52</v>
      </c>
      <c r="E46" t="s">
        <v>27</v>
      </c>
      <c r="F46" t="s">
        <v>28</v>
      </c>
      <c r="G46">
        <v>1</v>
      </c>
      <c r="H46" s="10">
        <f>_xlfn.XLOOKUP(E46,Table18[Product],Table18[Unit_Price])</f>
        <v>140</v>
      </c>
      <c r="I46" s="10">
        <f>_xlfn.XLOOKUP(E46,Table18[Product],Table18[Cost_Price])</f>
        <v>70</v>
      </c>
      <c r="J46" s="10">
        <v>12</v>
      </c>
      <c r="K46" s="10">
        <f t="shared" si="1"/>
        <v>128</v>
      </c>
      <c r="L46" s="10">
        <f t="shared" si="2"/>
        <v>58</v>
      </c>
      <c r="M46" t="s">
        <v>53</v>
      </c>
      <c r="N46" t="s">
        <v>54</v>
      </c>
      <c r="O46" t="s">
        <v>75</v>
      </c>
      <c r="P46">
        <v>4</v>
      </c>
    </row>
    <row r="47" spans="1:16" x14ac:dyDescent="0.25">
      <c r="A47" t="str">
        <f t="shared" si="0"/>
        <v>ORD0046</v>
      </c>
      <c r="B47" s="3">
        <v>46028</v>
      </c>
      <c r="C47" t="s">
        <v>100</v>
      </c>
      <c r="D47" t="s">
        <v>70</v>
      </c>
      <c r="E47" t="s">
        <v>36</v>
      </c>
      <c r="F47" t="s">
        <v>35</v>
      </c>
      <c r="G47">
        <v>4</v>
      </c>
      <c r="H47" s="10">
        <f>_xlfn.XLOOKUP(E47,Table18[Product],Table18[Unit_Price])</f>
        <v>220</v>
      </c>
      <c r="I47" s="10">
        <f>_xlfn.XLOOKUP(E47,Table18[Product],Table18[Cost_Price])</f>
        <v>110</v>
      </c>
      <c r="J47" s="10">
        <v>29</v>
      </c>
      <c r="K47" s="10">
        <f t="shared" si="1"/>
        <v>851</v>
      </c>
      <c r="L47" s="10">
        <f t="shared" si="2"/>
        <v>411</v>
      </c>
      <c r="M47" t="s">
        <v>53</v>
      </c>
      <c r="N47" t="s">
        <v>54</v>
      </c>
      <c r="O47" t="s">
        <v>65</v>
      </c>
      <c r="P47">
        <v>3</v>
      </c>
    </row>
    <row r="48" spans="1:16" x14ac:dyDescent="0.25">
      <c r="A48" t="str">
        <f t="shared" si="0"/>
        <v>ORD0047</v>
      </c>
      <c r="B48" s="3">
        <v>46138</v>
      </c>
      <c r="C48" t="s">
        <v>93</v>
      </c>
      <c r="D48" t="s">
        <v>48</v>
      </c>
      <c r="E48" t="s">
        <v>30</v>
      </c>
      <c r="F48" t="s">
        <v>31</v>
      </c>
      <c r="G48">
        <v>3</v>
      </c>
      <c r="H48" s="10">
        <f>_xlfn.XLOOKUP(E48,Table18[Product],Table18[Unit_Price])</f>
        <v>110</v>
      </c>
      <c r="I48" s="10">
        <f>_xlfn.XLOOKUP(E48,Table18[Product],Table18[Cost_Price])</f>
        <v>55</v>
      </c>
      <c r="J48" s="10">
        <v>30</v>
      </c>
      <c r="K48" s="10">
        <f t="shared" si="1"/>
        <v>300</v>
      </c>
      <c r="L48" s="10">
        <f t="shared" si="2"/>
        <v>135</v>
      </c>
      <c r="M48" t="s">
        <v>64</v>
      </c>
      <c r="N48" t="s">
        <v>58</v>
      </c>
      <c r="O48" t="s">
        <v>67</v>
      </c>
      <c r="P48">
        <v>5</v>
      </c>
    </row>
    <row r="49" spans="1:16" x14ac:dyDescent="0.25">
      <c r="A49" t="str">
        <f t="shared" si="0"/>
        <v>ORD0048</v>
      </c>
      <c r="B49" s="3">
        <v>46366</v>
      </c>
      <c r="C49" t="s">
        <v>96</v>
      </c>
      <c r="D49" t="s">
        <v>74</v>
      </c>
      <c r="E49" t="s">
        <v>32</v>
      </c>
      <c r="F49" t="s">
        <v>31</v>
      </c>
      <c r="G49">
        <v>4</v>
      </c>
      <c r="H49" s="10">
        <f>_xlfn.XLOOKUP(E49,Table18[Product],Table18[Unit_Price])</f>
        <v>130</v>
      </c>
      <c r="I49" s="10">
        <f>_xlfn.XLOOKUP(E49,Table18[Product],Table18[Cost_Price])</f>
        <v>65</v>
      </c>
      <c r="J49" s="10">
        <v>16</v>
      </c>
      <c r="K49" s="10">
        <f t="shared" si="1"/>
        <v>504</v>
      </c>
      <c r="L49" s="10">
        <f t="shared" si="2"/>
        <v>244</v>
      </c>
      <c r="M49" t="s">
        <v>53</v>
      </c>
      <c r="N49" t="s">
        <v>54</v>
      </c>
      <c r="O49" t="s">
        <v>59</v>
      </c>
      <c r="P49">
        <v>5</v>
      </c>
    </row>
    <row r="50" spans="1:16" x14ac:dyDescent="0.25">
      <c r="A50" t="str">
        <f t="shared" si="0"/>
        <v>ORD0049</v>
      </c>
      <c r="B50" s="3">
        <v>46328</v>
      </c>
      <c r="C50" t="s">
        <v>85</v>
      </c>
      <c r="D50" t="s">
        <v>72</v>
      </c>
      <c r="E50" t="s">
        <v>21</v>
      </c>
      <c r="F50" t="s">
        <v>17</v>
      </c>
      <c r="G50">
        <v>1</v>
      </c>
      <c r="H50" s="10">
        <f>_xlfn.XLOOKUP(E50,Table18[Product],Table18[Unit_Price])</f>
        <v>220</v>
      </c>
      <c r="I50" s="10">
        <f>_xlfn.XLOOKUP(E50,Table18[Product],Table18[Cost_Price])</f>
        <v>110</v>
      </c>
      <c r="J50" s="10">
        <v>19</v>
      </c>
      <c r="K50" s="10">
        <f t="shared" si="1"/>
        <v>201</v>
      </c>
      <c r="L50" s="10">
        <f t="shared" si="2"/>
        <v>91</v>
      </c>
      <c r="M50" t="s">
        <v>49</v>
      </c>
      <c r="N50" t="s">
        <v>58</v>
      </c>
      <c r="O50" t="s">
        <v>73</v>
      </c>
      <c r="P50">
        <v>4</v>
      </c>
    </row>
    <row r="51" spans="1:16" x14ac:dyDescent="0.25">
      <c r="A51" t="str">
        <f t="shared" si="0"/>
        <v>ORD0050</v>
      </c>
      <c r="B51" s="3">
        <v>46314</v>
      </c>
      <c r="C51" t="s">
        <v>85</v>
      </c>
      <c r="D51" t="s">
        <v>68</v>
      </c>
      <c r="E51" t="s">
        <v>38</v>
      </c>
      <c r="F51" t="s">
        <v>35</v>
      </c>
      <c r="G51">
        <v>3</v>
      </c>
      <c r="H51" s="10">
        <f>_xlfn.XLOOKUP(E51,Table18[Product],Table18[Unit_Price])</f>
        <v>170</v>
      </c>
      <c r="I51" s="10">
        <f>_xlfn.XLOOKUP(E51,Table18[Product],Table18[Cost_Price])</f>
        <v>85</v>
      </c>
      <c r="J51" s="10">
        <v>15</v>
      </c>
      <c r="K51" s="10">
        <f t="shared" si="1"/>
        <v>495</v>
      </c>
      <c r="L51" s="10">
        <f t="shared" si="2"/>
        <v>240</v>
      </c>
      <c r="M51" t="s">
        <v>61</v>
      </c>
      <c r="N51" t="s">
        <v>58</v>
      </c>
      <c r="O51" t="s">
        <v>69</v>
      </c>
      <c r="P51">
        <v>4</v>
      </c>
    </row>
    <row r="52" spans="1:16" x14ac:dyDescent="0.25">
      <c r="A52" t="str">
        <f t="shared" si="0"/>
        <v>ORD0051</v>
      </c>
      <c r="B52" s="3">
        <v>46288</v>
      </c>
      <c r="C52" t="s">
        <v>93</v>
      </c>
      <c r="D52" t="s">
        <v>72</v>
      </c>
      <c r="E52" t="s">
        <v>41</v>
      </c>
      <c r="F52" t="s">
        <v>40</v>
      </c>
      <c r="G52">
        <v>5</v>
      </c>
      <c r="H52" s="10">
        <f>_xlfn.XLOOKUP(E52,Table18[Product],Table18[Unit_Price])</f>
        <v>100</v>
      </c>
      <c r="I52" s="10">
        <f>_xlfn.XLOOKUP(E52,Table18[Product],Table18[Cost_Price])</f>
        <v>50</v>
      </c>
      <c r="J52" s="10">
        <v>36</v>
      </c>
      <c r="K52" s="10">
        <f t="shared" si="1"/>
        <v>464</v>
      </c>
      <c r="L52" s="10">
        <f t="shared" si="2"/>
        <v>214</v>
      </c>
      <c r="M52" t="s">
        <v>57</v>
      </c>
      <c r="N52" t="s">
        <v>58</v>
      </c>
      <c r="O52" t="s">
        <v>67</v>
      </c>
      <c r="P52">
        <v>3</v>
      </c>
    </row>
    <row r="53" spans="1:16" x14ac:dyDescent="0.25">
      <c r="A53" t="str">
        <f t="shared" si="0"/>
        <v>ORD0052</v>
      </c>
      <c r="B53" s="3">
        <v>46306</v>
      </c>
      <c r="C53" t="s">
        <v>86</v>
      </c>
      <c r="D53" t="s">
        <v>52</v>
      </c>
      <c r="E53" t="s">
        <v>34</v>
      </c>
      <c r="F53" t="s">
        <v>35</v>
      </c>
      <c r="G53">
        <v>3</v>
      </c>
      <c r="H53" s="10">
        <f>_xlfn.XLOOKUP(E53,Table18[Product],Table18[Unit_Price])</f>
        <v>180</v>
      </c>
      <c r="I53" s="10">
        <f>_xlfn.XLOOKUP(E53,Table18[Product],Table18[Cost_Price])</f>
        <v>90</v>
      </c>
      <c r="J53" s="10">
        <v>27</v>
      </c>
      <c r="K53" s="10">
        <f t="shared" si="1"/>
        <v>513</v>
      </c>
      <c r="L53" s="10">
        <f t="shared" si="2"/>
        <v>243</v>
      </c>
      <c r="M53" t="s">
        <v>53</v>
      </c>
      <c r="N53" t="s">
        <v>54</v>
      </c>
      <c r="O53" t="s">
        <v>51</v>
      </c>
      <c r="P53">
        <v>3</v>
      </c>
    </row>
    <row r="54" spans="1:16" x14ac:dyDescent="0.25">
      <c r="A54" t="str">
        <f t="shared" si="0"/>
        <v>ORD0053</v>
      </c>
      <c r="B54" s="3">
        <v>46039</v>
      </c>
      <c r="C54" t="s">
        <v>99</v>
      </c>
      <c r="D54" t="s">
        <v>48</v>
      </c>
      <c r="E54" t="s">
        <v>21</v>
      </c>
      <c r="F54" t="s">
        <v>17</v>
      </c>
      <c r="G54">
        <v>2</v>
      </c>
      <c r="H54" s="10">
        <f>_xlfn.XLOOKUP(E54,Table18[Product],Table18[Unit_Price])</f>
        <v>220</v>
      </c>
      <c r="I54" s="10">
        <f>_xlfn.XLOOKUP(E54,Table18[Product],Table18[Cost_Price])</f>
        <v>110</v>
      </c>
      <c r="J54" s="10">
        <v>14</v>
      </c>
      <c r="K54" s="10">
        <f t="shared" si="1"/>
        <v>426</v>
      </c>
      <c r="L54" s="10">
        <f t="shared" si="2"/>
        <v>206</v>
      </c>
      <c r="M54" t="s">
        <v>57</v>
      </c>
      <c r="N54" t="s">
        <v>50</v>
      </c>
      <c r="O54" t="s">
        <v>59</v>
      </c>
      <c r="P54">
        <v>4</v>
      </c>
    </row>
    <row r="55" spans="1:16" x14ac:dyDescent="0.25">
      <c r="A55" t="str">
        <f t="shared" si="0"/>
        <v>ORD0054</v>
      </c>
      <c r="B55" s="3">
        <v>46113</v>
      </c>
      <c r="C55" t="s">
        <v>77</v>
      </c>
      <c r="D55" t="s">
        <v>60</v>
      </c>
      <c r="E55" t="s">
        <v>18</v>
      </c>
      <c r="F55" t="s">
        <v>17</v>
      </c>
      <c r="G55">
        <v>2</v>
      </c>
      <c r="H55" s="10">
        <f>_xlfn.XLOOKUP(E55,Table18[Product],Table18[Unit_Price])</f>
        <v>180</v>
      </c>
      <c r="I55" s="10">
        <f>_xlfn.XLOOKUP(E55,Table18[Product],Table18[Cost_Price])</f>
        <v>90</v>
      </c>
      <c r="J55" s="10">
        <v>4</v>
      </c>
      <c r="K55" s="10">
        <f t="shared" si="1"/>
        <v>356</v>
      </c>
      <c r="L55" s="10">
        <f t="shared" si="2"/>
        <v>176</v>
      </c>
      <c r="M55" t="s">
        <v>64</v>
      </c>
      <c r="N55" t="s">
        <v>58</v>
      </c>
      <c r="O55" t="s">
        <v>51</v>
      </c>
      <c r="P55">
        <v>4</v>
      </c>
    </row>
    <row r="56" spans="1:16" x14ac:dyDescent="0.25">
      <c r="A56" t="str">
        <f t="shared" si="0"/>
        <v>ORD0055</v>
      </c>
      <c r="B56" s="3">
        <v>46246</v>
      </c>
      <c r="C56" t="s">
        <v>97</v>
      </c>
      <c r="D56" t="s">
        <v>74</v>
      </c>
      <c r="E56" t="s">
        <v>41</v>
      </c>
      <c r="F56" t="s">
        <v>40</v>
      </c>
      <c r="G56">
        <v>4</v>
      </c>
      <c r="H56" s="10">
        <f>_xlfn.XLOOKUP(E56,Table18[Product],Table18[Unit_Price])</f>
        <v>100</v>
      </c>
      <c r="I56" s="10">
        <f>_xlfn.XLOOKUP(E56,Table18[Product],Table18[Cost_Price])</f>
        <v>50</v>
      </c>
      <c r="J56" s="10">
        <v>36</v>
      </c>
      <c r="K56" s="10">
        <f t="shared" si="1"/>
        <v>364</v>
      </c>
      <c r="L56" s="10">
        <f t="shared" si="2"/>
        <v>164</v>
      </c>
      <c r="M56" t="s">
        <v>64</v>
      </c>
      <c r="N56" t="s">
        <v>50</v>
      </c>
      <c r="O56" t="s">
        <v>75</v>
      </c>
      <c r="P56">
        <v>3</v>
      </c>
    </row>
    <row r="57" spans="1:16" x14ac:dyDescent="0.25">
      <c r="A57" t="str">
        <f t="shared" si="0"/>
        <v>ORD0056</v>
      </c>
      <c r="B57" s="3">
        <v>46368</v>
      </c>
      <c r="C57" t="s">
        <v>105</v>
      </c>
      <c r="D57" t="s">
        <v>60</v>
      </c>
      <c r="E57" t="s">
        <v>42</v>
      </c>
      <c r="F57" t="s">
        <v>40</v>
      </c>
      <c r="G57">
        <v>4</v>
      </c>
      <c r="H57" s="10">
        <f>_xlfn.XLOOKUP(E57,Table18[Product],Table18[Unit_Price])</f>
        <v>80</v>
      </c>
      <c r="I57" s="10">
        <f>_xlfn.XLOOKUP(E57,Table18[Product],Table18[Cost_Price])</f>
        <v>40</v>
      </c>
      <c r="J57" s="10">
        <v>21</v>
      </c>
      <c r="K57" s="10">
        <f t="shared" si="1"/>
        <v>299</v>
      </c>
      <c r="L57" s="10">
        <f t="shared" si="2"/>
        <v>139</v>
      </c>
      <c r="M57" t="s">
        <v>64</v>
      </c>
      <c r="N57" t="s">
        <v>50</v>
      </c>
      <c r="O57" t="s">
        <v>55</v>
      </c>
      <c r="P57">
        <v>3</v>
      </c>
    </row>
    <row r="58" spans="1:16" x14ac:dyDescent="0.25">
      <c r="A58" t="str">
        <f t="shared" si="0"/>
        <v>ORD0057</v>
      </c>
      <c r="B58" s="3">
        <v>46079</v>
      </c>
      <c r="C58" t="s">
        <v>90</v>
      </c>
      <c r="D58" t="s">
        <v>56</v>
      </c>
      <c r="E58" t="s">
        <v>39</v>
      </c>
      <c r="F58" t="s">
        <v>40</v>
      </c>
      <c r="G58">
        <v>4</v>
      </c>
      <c r="H58" s="10">
        <f>_xlfn.XLOOKUP(E58,Table18[Product],Table18[Unit_Price])</f>
        <v>240</v>
      </c>
      <c r="I58" s="10">
        <f>_xlfn.XLOOKUP(E58,Table18[Product],Table18[Cost_Price])</f>
        <v>120</v>
      </c>
      <c r="J58" s="10">
        <v>13</v>
      </c>
      <c r="K58" s="10">
        <f t="shared" si="1"/>
        <v>947</v>
      </c>
      <c r="L58" s="10">
        <f t="shared" si="2"/>
        <v>467</v>
      </c>
      <c r="M58" t="s">
        <v>64</v>
      </c>
      <c r="N58" t="s">
        <v>58</v>
      </c>
      <c r="O58" t="s">
        <v>73</v>
      </c>
      <c r="P58">
        <v>3</v>
      </c>
    </row>
    <row r="59" spans="1:16" x14ac:dyDescent="0.25">
      <c r="A59" t="str">
        <f t="shared" si="0"/>
        <v>ORD0058</v>
      </c>
      <c r="B59" s="3">
        <v>46057</v>
      </c>
      <c r="C59" t="s">
        <v>97</v>
      </c>
      <c r="D59" t="s">
        <v>68</v>
      </c>
      <c r="E59" t="s">
        <v>42</v>
      </c>
      <c r="F59" t="s">
        <v>40</v>
      </c>
      <c r="G59">
        <v>5</v>
      </c>
      <c r="H59" s="10">
        <f>_xlfn.XLOOKUP(E59,Table18[Product],Table18[Unit_Price])</f>
        <v>80</v>
      </c>
      <c r="I59" s="10">
        <f>_xlfn.XLOOKUP(E59,Table18[Product],Table18[Cost_Price])</f>
        <v>40</v>
      </c>
      <c r="J59" s="10">
        <v>15</v>
      </c>
      <c r="K59" s="10">
        <f t="shared" si="1"/>
        <v>385</v>
      </c>
      <c r="L59" s="10">
        <f t="shared" si="2"/>
        <v>185</v>
      </c>
      <c r="M59" t="s">
        <v>57</v>
      </c>
      <c r="N59" t="s">
        <v>58</v>
      </c>
      <c r="O59" t="s">
        <v>55</v>
      </c>
      <c r="P59">
        <v>5</v>
      </c>
    </row>
    <row r="60" spans="1:16" x14ac:dyDescent="0.25">
      <c r="A60" t="str">
        <f t="shared" si="0"/>
        <v>ORD0059</v>
      </c>
      <c r="B60" s="3">
        <v>46124</v>
      </c>
      <c r="C60" t="s">
        <v>100</v>
      </c>
      <c r="D60" t="s">
        <v>74</v>
      </c>
      <c r="E60" t="s">
        <v>21</v>
      </c>
      <c r="F60" t="s">
        <v>17</v>
      </c>
      <c r="G60">
        <v>3</v>
      </c>
      <c r="H60" s="10">
        <f>_xlfn.XLOOKUP(E60,Table18[Product],Table18[Unit_Price])</f>
        <v>220</v>
      </c>
      <c r="I60" s="10">
        <f>_xlfn.XLOOKUP(E60,Table18[Product],Table18[Cost_Price])</f>
        <v>110</v>
      </c>
      <c r="J60" s="10">
        <v>27</v>
      </c>
      <c r="K60" s="10">
        <f t="shared" si="1"/>
        <v>633</v>
      </c>
      <c r="L60" s="10">
        <f t="shared" si="2"/>
        <v>303</v>
      </c>
      <c r="M60" t="s">
        <v>49</v>
      </c>
      <c r="N60" t="s">
        <v>54</v>
      </c>
      <c r="O60" t="s">
        <v>62</v>
      </c>
      <c r="P60">
        <v>3</v>
      </c>
    </row>
    <row r="61" spans="1:16" x14ac:dyDescent="0.25">
      <c r="A61" t="str">
        <f t="shared" si="0"/>
        <v>ORD0060</v>
      </c>
      <c r="B61" s="3">
        <v>46266</v>
      </c>
      <c r="C61" t="s">
        <v>104</v>
      </c>
      <c r="D61" t="s">
        <v>66</v>
      </c>
      <c r="E61" t="s">
        <v>33</v>
      </c>
      <c r="F61" t="s">
        <v>31</v>
      </c>
      <c r="G61">
        <v>4</v>
      </c>
      <c r="H61" s="10">
        <f>_xlfn.XLOOKUP(E61,Table18[Product],Table18[Unit_Price])</f>
        <v>150</v>
      </c>
      <c r="I61" s="10">
        <f>_xlfn.XLOOKUP(E61,Table18[Product],Table18[Cost_Price])</f>
        <v>75</v>
      </c>
      <c r="J61" s="10">
        <v>12</v>
      </c>
      <c r="K61" s="10">
        <f t="shared" si="1"/>
        <v>588</v>
      </c>
      <c r="L61" s="10">
        <f t="shared" si="2"/>
        <v>288</v>
      </c>
      <c r="M61" t="s">
        <v>53</v>
      </c>
      <c r="N61" t="s">
        <v>50</v>
      </c>
      <c r="O61" t="s">
        <v>51</v>
      </c>
      <c r="P61">
        <v>5</v>
      </c>
    </row>
    <row r="62" spans="1:16" x14ac:dyDescent="0.25">
      <c r="A62" t="str">
        <f t="shared" si="0"/>
        <v>ORD0061</v>
      </c>
      <c r="B62" s="3">
        <v>46085</v>
      </c>
      <c r="C62" t="s">
        <v>87</v>
      </c>
      <c r="D62" t="s">
        <v>60</v>
      </c>
      <c r="E62" t="s">
        <v>25</v>
      </c>
      <c r="F62" t="s">
        <v>26</v>
      </c>
      <c r="G62">
        <v>1</v>
      </c>
      <c r="H62" s="10">
        <f>_xlfn.XLOOKUP(E62,Table18[Product],Table18[Unit_Price])</f>
        <v>170</v>
      </c>
      <c r="I62" s="10">
        <f>_xlfn.XLOOKUP(E62,Table18[Product],Table18[Cost_Price])</f>
        <v>85</v>
      </c>
      <c r="J62" s="10">
        <v>37</v>
      </c>
      <c r="K62" s="10">
        <f t="shared" si="1"/>
        <v>133</v>
      </c>
      <c r="L62" s="10">
        <f t="shared" si="2"/>
        <v>48</v>
      </c>
      <c r="M62" t="s">
        <v>53</v>
      </c>
      <c r="N62" t="s">
        <v>50</v>
      </c>
      <c r="O62" t="s">
        <v>71</v>
      </c>
      <c r="P62">
        <v>4</v>
      </c>
    </row>
    <row r="63" spans="1:16" x14ac:dyDescent="0.25">
      <c r="A63" t="str">
        <f t="shared" si="0"/>
        <v>ORD0062</v>
      </c>
      <c r="B63" s="3">
        <v>46205</v>
      </c>
      <c r="C63" t="s">
        <v>99</v>
      </c>
      <c r="D63" t="s">
        <v>52</v>
      </c>
      <c r="E63" t="s">
        <v>39</v>
      </c>
      <c r="F63" t="s">
        <v>40</v>
      </c>
      <c r="G63">
        <v>4</v>
      </c>
      <c r="H63" s="10">
        <f>_xlfn.XLOOKUP(E63,Table18[Product],Table18[Unit_Price])</f>
        <v>240</v>
      </c>
      <c r="I63" s="10">
        <f>_xlfn.XLOOKUP(E63,Table18[Product],Table18[Cost_Price])</f>
        <v>120</v>
      </c>
      <c r="J63" s="10">
        <v>41</v>
      </c>
      <c r="K63" s="10">
        <f t="shared" si="1"/>
        <v>919</v>
      </c>
      <c r="L63" s="10">
        <f t="shared" si="2"/>
        <v>439</v>
      </c>
      <c r="M63" t="s">
        <v>64</v>
      </c>
      <c r="N63" t="s">
        <v>50</v>
      </c>
      <c r="O63" t="s">
        <v>51</v>
      </c>
      <c r="P63">
        <v>3</v>
      </c>
    </row>
    <row r="64" spans="1:16" x14ac:dyDescent="0.25">
      <c r="A64" t="str">
        <f t="shared" si="0"/>
        <v>ORD0063</v>
      </c>
      <c r="B64" s="3">
        <v>46339</v>
      </c>
      <c r="C64" t="s">
        <v>96</v>
      </c>
      <c r="D64" t="s">
        <v>56</v>
      </c>
      <c r="E64" t="s">
        <v>24</v>
      </c>
      <c r="F64" t="s">
        <v>23</v>
      </c>
      <c r="G64">
        <v>4</v>
      </c>
      <c r="H64" s="10">
        <f>_xlfn.XLOOKUP(E64,Table18[Product],Table18[Unit_Price])</f>
        <v>210</v>
      </c>
      <c r="I64" s="10">
        <f>_xlfn.XLOOKUP(E64,Table18[Product],Table18[Cost_Price])</f>
        <v>105</v>
      </c>
      <c r="J64" s="10">
        <v>11</v>
      </c>
      <c r="K64" s="10">
        <f t="shared" si="1"/>
        <v>829</v>
      </c>
      <c r="L64" s="10">
        <f t="shared" si="2"/>
        <v>409</v>
      </c>
      <c r="M64" t="s">
        <v>49</v>
      </c>
      <c r="N64" t="s">
        <v>58</v>
      </c>
      <c r="O64" t="s">
        <v>69</v>
      </c>
      <c r="P64">
        <v>4</v>
      </c>
    </row>
    <row r="65" spans="1:16" x14ac:dyDescent="0.25">
      <c r="A65" t="str">
        <f t="shared" si="0"/>
        <v>ORD0064</v>
      </c>
      <c r="B65" s="3">
        <v>46314</v>
      </c>
      <c r="C65" t="s">
        <v>89</v>
      </c>
      <c r="D65" t="s">
        <v>72</v>
      </c>
      <c r="E65" t="s">
        <v>21</v>
      </c>
      <c r="F65" t="s">
        <v>17</v>
      </c>
      <c r="G65">
        <v>2</v>
      </c>
      <c r="H65" s="10">
        <f>_xlfn.XLOOKUP(E65,Table18[Product],Table18[Unit_Price])</f>
        <v>220</v>
      </c>
      <c r="I65" s="10">
        <f>_xlfn.XLOOKUP(E65,Table18[Product],Table18[Cost_Price])</f>
        <v>110</v>
      </c>
      <c r="J65" s="10">
        <v>43</v>
      </c>
      <c r="K65" s="10">
        <f t="shared" si="1"/>
        <v>397</v>
      </c>
      <c r="L65" s="10">
        <f t="shared" si="2"/>
        <v>177</v>
      </c>
      <c r="M65" t="s">
        <v>61</v>
      </c>
      <c r="N65" t="s">
        <v>58</v>
      </c>
      <c r="O65" t="s">
        <v>67</v>
      </c>
      <c r="P65">
        <v>5</v>
      </c>
    </row>
    <row r="66" spans="1:16" x14ac:dyDescent="0.25">
      <c r="A66" t="str">
        <f t="shared" si="0"/>
        <v>ORD0065</v>
      </c>
      <c r="B66" s="3">
        <v>46136</v>
      </c>
      <c r="C66" t="s">
        <v>81</v>
      </c>
      <c r="D66" t="s">
        <v>48</v>
      </c>
      <c r="E66" t="s">
        <v>29</v>
      </c>
      <c r="F66" t="s">
        <v>28</v>
      </c>
      <c r="G66">
        <v>2</v>
      </c>
      <c r="H66" s="10">
        <f>_xlfn.XLOOKUP(E66,Table18[Product],Table18[Unit_Price])</f>
        <v>120</v>
      </c>
      <c r="I66" s="10">
        <f>_xlfn.XLOOKUP(E66,Table18[Product],Table18[Cost_Price])</f>
        <v>60</v>
      </c>
      <c r="J66" s="10">
        <v>41</v>
      </c>
      <c r="K66" s="10">
        <f t="shared" si="1"/>
        <v>199</v>
      </c>
      <c r="L66" s="10">
        <f t="shared" si="2"/>
        <v>79</v>
      </c>
      <c r="M66" t="s">
        <v>64</v>
      </c>
      <c r="N66" t="s">
        <v>50</v>
      </c>
      <c r="O66" t="s">
        <v>69</v>
      </c>
      <c r="P66">
        <v>5</v>
      </c>
    </row>
    <row r="67" spans="1:16" x14ac:dyDescent="0.25">
      <c r="A67" t="str">
        <f t="shared" ref="A67:A130" si="3">"ORD"&amp;TEXT(ROW()-1,"0000")</f>
        <v>ORD0066</v>
      </c>
      <c r="B67" s="3">
        <v>46095</v>
      </c>
      <c r="C67" t="s">
        <v>83</v>
      </c>
      <c r="D67" t="s">
        <v>48</v>
      </c>
      <c r="E67" t="s">
        <v>41</v>
      </c>
      <c r="F67" t="s">
        <v>40</v>
      </c>
      <c r="G67">
        <v>1</v>
      </c>
      <c r="H67" s="10">
        <f>_xlfn.XLOOKUP(E67,Table18[Product],Table18[Unit_Price])</f>
        <v>100</v>
      </c>
      <c r="I67" s="10">
        <f>_xlfn.XLOOKUP(E67,Table18[Product],Table18[Cost_Price])</f>
        <v>50</v>
      </c>
      <c r="J67" s="10">
        <v>4</v>
      </c>
      <c r="K67" s="10">
        <f t="shared" ref="K67:K130" si="4">(G67*H67)-J67</f>
        <v>96</v>
      </c>
      <c r="L67" s="10">
        <f t="shared" ref="L67:L130" si="5">K67-(G67*I67)</f>
        <v>46</v>
      </c>
      <c r="M67" t="s">
        <v>49</v>
      </c>
      <c r="N67" t="s">
        <v>50</v>
      </c>
      <c r="O67" t="s">
        <v>51</v>
      </c>
      <c r="P67">
        <v>3</v>
      </c>
    </row>
    <row r="68" spans="1:16" x14ac:dyDescent="0.25">
      <c r="A68" t="str">
        <f t="shared" si="3"/>
        <v>ORD0067</v>
      </c>
      <c r="B68" s="3">
        <v>46331</v>
      </c>
      <c r="C68" t="s">
        <v>102</v>
      </c>
      <c r="D68" t="s">
        <v>72</v>
      </c>
      <c r="E68" t="s">
        <v>42</v>
      </c>
      <c r="F68" t="s">
        <v>40</v>
      </c>
      <c r="G68">
        <v>2</v>
      </c>
      <c r="H68" s="10">
        <f>_xlfn.XLOOKUP(E68,Table18[Product],Table18[Unit_Price])</f>
        <v>80</v>
      </c>
      <c r="I68" s="10">
        <f>_xlfn.XLOOKUP(E68,Table18[Product],Table18[Cost_Price])</f>
        <v>40</v>
      </c>
      <c r="J68" s="10">
        <v>28</v>
      </c>
      <c r="K68" s="10">
        <f t="shared" si="4"/>
        <v>132</v>
      </c>
      <c r="L68" s="10">
        <f t="shared" si="5"/>
        <v>52</v>
      </c>
      <c r="M68" t="s">
        <v>64</v>
      </c>
      <c r="N68" t="s">
        <v>58</v>
      </c>
      <c r="O68" t="s">
        <v>51</v>
      </c>
      <c r="P68">
        <v>3</v>
      </c>
    </row>
    <row r="69" spans="1:16" x14ac:dyDescent="0.25">
      <c r="A69" t="str">
        <f t="shared" si="3"/>
        <v>ORD0068</v>
      </c>
      <c r="B69" s="3">
        <v>46371</v>
      </c>
      <c r="C69" t="s">
        <v>93</v>
      </c>
      <c r="D69" t="s">
        <v>74</v>
      </c>
      <c r="E69" t="s">
        <v>37</v>
      </c>
      <c r="F69" t="s">
        <v>35</v>
      </c>
      <c r="G69">
        <v>4</v>
      </c>
      <c r="H69" s="10">
        <f>_xlfn.XLOOKUP(E69,Table18[Product],Table18[Unit_Price])</f>
        <v>160</v>
      </c>
      <c r="I69" s="10">
        <f>_xlfn.XLOOKUP(E69,Table18[Product],Table18[Cost_Price])</f>
        <v>80</v>
      </c>
      <c r="J69" s="10">
        <v>8</v>
      </c>
      <c r="K69" s="10">
        <f t="shared" si="4"/>
        <v>632</v>
      </c>
      <c r="L69" s="10">
        <f t="shared" si="5"/>
        <v>312</v>
      </c>
      <c r="M69" t="s">
        <v>53</v>
      </c>
      <c r="N69" t="s">
        <v>54</v>
      </c>
      <c r="O69" t="s">
        <v>51</v>
      </c>
      <c r="P69">
        <v>4</v>
      </c>
    </row>
    <row r="70" spans="1:16" x14ac:dyDescent="0.25">
      <c r="A70" t="str">
        <f t="shared" si="3"/>
        <v>ORD0069</v>
      </c>
      <c r="B70" s="3">
        <v>46314</v>
      </c>
      <c r="C70" t="s">
        <v>97</v>
      </c>
      <c r="D70" t="s">
        <v>68</v>
      </c>
      <c r="E70" t="s">
        <v>30</v>
      </c>
      <c r="F70" t="s">
        <v>31</v>
      </c>
      <c r="G70">
        <v>3</v>
      </c>
      <c r="H70" s="10">
        <f>_xlfn.XLOOKUP(E70,Table18[Product],Table18[Unit_Price])</f>
        <v>110</v>
      </c>
      <c r="I70" s="10">
        <f>_xlfn.XLOOKUP(E70,Table18[Product],Table18[Cost_Price])</f>
        <v>55</v>
      </c>
      <c r="J70" s="10">
        <v>48</v>
      </c>
      <c r="K70" s="10">
        <f t="shared" si="4"/>
        <v>282</v>
      </c>
      <c r="L70" s="10">
        <f t="shared" si="5"/>
        <v>117</v>
      </c>
      <c r="M70" t="s">
        <v>61</v>
      </c>
      <c r="N70" t="s">
        <v>54</v>
      </c>
      <c r="O70" t="s">
        <v>55</v>
      </c>
      <c r="P70">
        <v>4</v>
      </c>
    </row>
    <row r="71" spans="1:16" x14ac:dyDescent="0.25">
      <c r="A71" t="str">
        <f t="shared" si="3"/>
        <v>ORD0070</v>
      </c>
      <c r="B71" s="3">
        <v>46157</v>
      </c>
      <c r="C71" t="s">
        <v>84</v>
      </c>
      <c r="D71" t="s">
        <v>60</v>
      </c>
      <c r="E71" t="s">
        <v>38</v>
      </c>
      <c r="F71" t="s">
        <v>35</v>
      </c>
      <c r="G71">
        <v>4</v>
      </c>
      <c r="H71" s="10">
        <f>_xlfn.XLOOKUP(E71,Table18[Product],Table18[Unit_Price])</f>
        <v>170</v>
      </c>
      <c r="I71" s="10">
        <f>_xlfn.XLOOKUP(E71,Table18[Product],Table18[Cost_Price])</f>
        <v>85</v>
      </c>
      <c r="J71" s="10">
        <v>18</v>
      </c>
      <c r="K71" s="10">
        <f t="shared" si="4"/>
        <v>662</v>
      </c>
      <c r="L71" s="10">
        <f t="shared" si="5"/>
        <v>322</v>
      </c>
      <c r="M71" t="s">
        <v>57</v>
      </c>
      <c r="N71" t="s">
        <v>58</v>
      </c>
      <c r="O71" t="s">
        <v>59</v>
      </c>
      <c r="P71">
        <v>3</v>
      </c>
    </row>
    <row r="72" spans="1:16" x14ac:dyDescent="0.25">
      <c r="A72" t="str">
        <f t="shared" si="3"/>
        <v>ORD0071</v>
      </c>
      <c r="B72" s="3">
        <v>46319</v>
      </c>
      <c r="C72" t="s">
        <v>96</v>
      </c>
      <c r="D72" t="s">
        <v>72</v>
      </c>
      <c r="E72" t="s">
        <v>27</v>
      </c>
      <c r="F72" t="s">
        <v>28</v>
      </c>
      <c r="G72">
        <v>5</v>
      </c>
      <c r="H72" s="10">
        <f>_xlfn.XLOOKUP(E72,Table18[Product],Table18[Unit_Price])</f>
        <v>140</v>
      </c>
      <c r="I72" s="10">
        <f>_xlfn.XLOOKUP(E72,Table18[Product],Table18[Cost_Price])</f>
        <v>70</v>
      </c>
      <c r="J72" s="10">
        <v>31</v>
      </c>
      <c r="K72" s="10">
        <f t="shared" si="4"/>
        <v>669</v>
      </c>
      <c r="L72" s="10">
        <f t="shared" si="5"/>
        <v>319</v>
      </c>
      <c r="M72" t="s">
        <v>53</v>
      </c>
      <c r="N72" t="s">
        <v>54</v>
      </c>
      <c r="O72" t="s">
        <v>69</v>
      </c>
      <c r="P72">
        <v>4</v>
      </c>
    </row>
    <row r="73" spans="1:16" x14ac:dyDescent="0.25">
      <c r="A73" t="str">
        <f t="shared" si="3"/>
        <v>ORD0072</v>
      </c>
      <c r="B73" s="3">
        <v>46165</v>
      </c>
      <c r="C73" t="s">
        <v>97</v>
      </c>
      <c r="D73" t="s">
        <v>70</v>
      </c>
      <c r="E73" t="s">
        <v>22</v>
      </c>
      <c r="F73" t="s">
        <v>23</v>
      </c>
      <c r="G73">
        <v>1</v>
      </c>
      <c r="H73" s="10">
        <f>_xlfn.XLOOKUP(E73,Table18[Product],Table18[Unit_Price])</f>
        <v>190</v>
      </c>
      <c r="I73" s="10">
        <f>_xlfn.XLOOKUP(E73,Table18[Product],Table18[Cost_Price])</f>
        <v>95</v>
      </c>
      <c r="J73" s="10">
        <v>30</v>
      </c>
      <c r="K73" s="10">
        <f t="shared" si="4"/>
        <v>160</v>
      </c>
      <c r="L73" s="10">
        <f t="shared" si="5"/>
        <v>65</v>
      </c>
      <c r="M73" t="s">
        <v>64</v>
      </c>
      <c r="N73" t="s">
        <v>58</v>
      </c>
      <c r="O73" t="s">
        <v>73</v>
      </c>
      <c r="P73">
        <v>3</v>
      </c>
    </row>
    <row r="74" spans="1:16" x14ac:dyDescent="0.25">
      <c r="A74" t="str">
        <f t="shared" si="3"/>
        <v>ORD0073</v>
      </c>
      <c r="B74" s="3">
        <v>46354</v>
      </c>
      <c r="C74" t="s">
        <v>91</v>
      </c>
      <c r="D74" t="s">
        <v>72</v>
      </c>
      <c r="E74" t="s">
        <v>18</v>
      </c>
      <c r="F74" t="s">
        <v>17</v>
      </c>
      <c r="G74">
        <v>1</v>
      </c>
      <c r="H74" s="10">
        <f>_xlfn.XLOOKUP(E74,Table18[Product],Table18[Unit_Price])</f>
        <v>180</v>
      </c>
      <c r="I74" s="10">
        <f>_xlfn.XLOOKUP(E74,Table18[Product],Table18[Cost_Price])</f>
        <v>90</v>
      </c>
      <c r="J74" s="10">
        <v>39</v>
      </c>
      <c r="K74" s="10">
        <f t="shared" si="4"/>
        <v>141</v>
      </c>
      <c r="L74" s="10">
        <f t="shared" si="5"/>
        <v>51</v>
      </c>
      <c r="M74" t="s">
        <v>57</v>
      </c>
      <c r="N74" t="s">
        <v>58</v>
      </c>
      <c r="O74" t="s">
        <v>67</v>
      </c>
      <c r="P74">
        <v>5</v>
      </c>
    </row>
    <row r="75" spans="1:16" x14ac:dyDescent="0.25">
      <c r="A75" t="str">
        <f t="shared" si="3"/>
        <v>ORD0074</v>
      </c>
      <c r="B75" s="3">
        <v>46321</v>
      </c>
      <c r="C75" t="s">
        <v>88</v>
      </c>
      <c r="D75" t="s">
        <v>68</v>
      </c>
      <c r="E75" t="s">
        <v>19</v>
      </c>
      <c r="F75" t="s">
        <v>17</v>
      </c>
      <c r="G75">
        <v>3</v>
      </c>
      <c r="H75" s="10">
        <f>_xlfn.XLOOKUP(E75,Table18[Product],Table18[Unit_Price])</f>
        <v>200</v>
      </c>
      <c r="I75" s="10">
        <f>_xlfn.XLOOKUP(E75,Table18[Product],Table18[Cost_Price])</f>
        <v>100</v>
      </c>
      <c r="J75" s="10">
        <v>40</v>
      </c>
      <c r="K75" s="10">
        <f t="shared" si="4"/>
        <v>560</v>
      </c>
      <c r="L75" s="10">
        <f t="shared" si="5"/>
        <v>260</v>
      </c>
      <c r="M75" t="s">
        <v>61</v>
      </c>
      <c r="N75" t="s">
        <v>50</v>
      </c>
      <c r="O75" t="s">
        <v>67</v>
      </c>
      <c r="P75">
        <v>4</v>
      </c>
    </row>
    <row r="76" spans="1:16" x14ac:dyDescent="0.25">
      <c r="A76" t="str">
        <f t="shared" si="3"/>
        <v>ORD0075</v>
      </c>
      <c r="B76" s="3">
        <v>46103</v>
      </c>
      <c r="C76" t="s">
        <v>102</v>
      </c>
      <c r="D76" t="s">
        <v>52</v>
      </c>
      <c r="E76" t="s">
        <v>22</v>
      </c>
      <c r="F76" t="s">
        <v>23</v>
      </c>
      <c r="G76">
        <v>1</v>
      </c>
      <c r="H76" s="10">
        <f>_xlfn.XLOOKUP(E76,Table18[Product],Table18[Unit_Price])</f>
        <v>190</v>
      </c>
      <c r="I76" s="10">
        <f>_xlfn.XLOOKUP(E76,Table18[Product],Table18[Cost_Price])</f>
        <v>95</v>
      </c>
      <c r="J76" s="10">
        <v>30</v>
      </c>
      <c r="K76" s="10">
        <f t="shared" si="4"/>
        <v>160</v>
      </c>
      <c r="L76" s="10">
        <f t="shared" si="5"/>
        <v>65</v>
      </c>
      <c r="M76" t="s">
        <v>57</v>
      </c>
      <c r="N76" t="s">
        <v>54</v>
      </c>
      <c r="O76" t="s">
        <v>75</v>
      </c>
      <c r="P76">
        <v>5</v>
      </c>
    </row>
    <row r="77" spans="1:16" x14ac:dyDescent="0.25">
      <c r="A77" t="str">
        <f t="shared" si="3"/>
        <v>ORD0076</v>
      </c>
      <c r="B77" s="3">
        <v>46073</v>
      </c>
      <c r="C77" t="s">
        <v>79</v>
      </c>
      <c r="D77" t="s">
        <v>48</v>
      </c>
      <c r="E77" t="s">
        <v>20</v>
      </c>
      <c r="F77" t="s">
        <v>17</v>
      </c>
      <c r="G77">
        <v>4</v>
      </c>
      <c r="H77" s="10">
        <f>_xlfn.XLOOKUP(E77,Table18[Product],Table18[Unit_Price])</f>
        <v>150</v>
      </c>
      <c r="I77" s="10">
        <f>_xlfn.XLOOKUP(E77,Table18[Product],Table18[Cost_Price])</f>
        <v>75</v>
      </c>
      <c r="J77" s="10">
        <v>36</v>
      </c>
      <c r="K77" s="10">
        <f t="shared" si="4"/>
        <v>564</v>
      </c>
      <c r="L77" s="10">
        <f t="shared" si="5"/>
        <v>264</v>
      </c>
      <c r="M77" t="s">
        <v>57</v>
      </c>
      <c r="N77" t="s">
        <v>58</v>
      </c>
      <c r="O77" t="s">
        <v>69</v>
      </c>
      <c r="P77">
        <v>4</v>
      </c>
    </row>
    <row r="78" spans="1:16" x14ac:dyDescent="0.25">
      <c r="A78" t="str">
        <f t="shared" si="3"/>
        <v>ORD0077</v>
      </c>
      <c r="B78" s="3">
        <v>46338</v>
      </c>
      <c r="C78" t="s">
        <v>82</v>
      </c>
      <c r="D78" t="s">
        <v>72</v>
      </c>
      <c r="E78" t="s">
        <v>25</v>
      </c>
      <c r="F78" t="s">
        <v>26</v>
      </c>
      <c r="G78">
        <v>3</v>
      </c>
      <c r="H78" s="10">
        <f>_xlfn.XLOOKUP(E78,Table18[Product],Table18[Unit_Price])</f>
        <v>170</v>
      </c>
      <c r="I78" s="10">
        <f>_xlfn.XLOOKUP(E78,Table18[Product],Table18[Cost_Price])</f>
        <v>85</v>
      </c>
      <c r="J78" s="10">
        <v>25</v>
      </c>
      <c r="K78" s="10">
        <f t="shared" si="4"/>
        <v>485</v>
      </c>
      <c r="L78" s="10">
        <f t="shared" si="5"/>
        <v>230</v>
      </c>
      <c r="M78" t="s">
        <v>64</v>
      </c>
      <c r="N78" t="s">
        <v>50</v>
      </c>
      <c r="O78" t="s">
        <v>51</v>
      </c>
      <c r="P78">
        <v>3</v>
      </c>
    </row>
    <row r="79" spans="1:16" x14ac:dyDescent="0.25">
      <c r="A79" t="str">
        <f t="shared" si="3"/>
        <v>ORD0078</v>
      </c>
      <c r="B79" s="3">
        <v>46069</v>
      </c>
      <c r="C79" t="s">
        <v>88</v>
      </c>
      <c r="D79" t="s">
        <v>72</v>
      </c>
      <c r="E79" t="s">
        <v>41</v>
      </c>
      <c r="F79" t="s">
        <v>40</v>
      </c>
      <c r="G79">
        <v>4</v>
      </c>
      <c r="H79" s="10">
        <f>_xlfn.XLOOKUP(E79,Table18[Product],Table18[Unit_Price])</f>
        <v>100</v>
      </c>
      <c r="I79" s="10">
        <f>_xlfn.XLOOKUP(E79,Table18[Product],Table18[Cost_Price])</f>
        <v>50</v>
      </c>
      <c r="J79" s="10">
        <v>17</v>
      </c>
      <c r="K79" s="10">
        <f t="shared" si="4"/>
        <v>383</v>
      </c>
      <c r="L79" s="10">
        <f t="shared" si="5"/>
        <v>183</v>
      </c>
      <c r="M79" t="s">
        <v>57</v>
      </c>
      <c r="N79" t="s">
        <v>58</v>
      </c>
      <c r="O79" t="s">
        <v>69</v>
      </c>
      <c r="P79">
        <v>4</v>
      </c>
    </row>
    <row r="80" spans="1:16" x14ac:dyDescent="0.25">
      <c r="A80" t="str">
        <f t="shared" si="3"/>
        <v>ORD0079</v>
      </c>
      <c r="B80" s="3">
        <v>46220</v>
      </c>
      <c r="C80" t="s">
        <v>97</v>
      </c>
      <c r="D80" t="s">
        <v>68</v>
      </c>
      <c r="E80" t="s">
        <v>22</v>
      </c>
      <c r="F80" t="s">
        <v>23</v>
      </c>
      <c r="G80">
        <v>5</v>
      </c>
      <c r="H80" s="10">
        <f>_xlfn.XLOOKUP(E80,Table18[Product],Table18[Unit_Price])</f>
        <v>190</v>
      </c>
      <c r="I80" s="10">
        <f>_xlfn.XLOOKUP(E80,Table18[Product],Table18[Cost_Price])</f>
        <v>95</v>
      </c>
      <c r="J80" s="10">
        <v>13</v>
      </c>
      <c r="K80" s="10">
        <f t="shared" si="4"/>
        <v>937</v>
      </c>
      <c r="L80" s="10">
        <f t="shared" si="5"/>
        <v>462</v>
      </c>
      <c r="M80" t="s">
        <v>57</v>
      </c>
      <c r="N80" t="s">
        <v>58</v>
      </c>
      <c r="O80" t="s">
        <v>73</v>
      </c>
      <c r="P80">
        <v>4</v>
      </c>
    </row>
    <row r="81" spans="1:16" x14ac:dyDescent="0.25">
      <c r="A81" t="str">
        <f t="shared" si="3"/>
        <v>ORD0080</v>
      </c>
      <c r="B81" s="3">
        <v>46342</v>
      </c>
      <c r="C81" t="s">
        <v>104</v>
      </c>
      <c r="D81" t="s">
        <v>48</v>
      </c>
      <c r="E81" t="s">
        <v>27</v>
      </c>
      <c r="F81" t="s">
        <v>28</v>
      </c>
      <c r="G81">
        <v>4</v>
      </c>
      <c r="H81" s="10">
        <f>_xlfn.XLOOKUP(E81,Table18[Product],Table18[Unit_Price])</f>
        <v>140</v>
      </c>
      <c r="I81" s="10">
        <f>_xlfn.XLOOKUP(E81,Table18[Product],Table18[Cost_Price])</f>
        <v>70</v>
      </c>
      <c r="J81" s="10">
        <v>12</v>
      </c>
      <c r="K81" s="10">
        <f t="shared" si="4"/>
        <v>548</v>
      </c>
      <c r="L81" s="10">
        <f t="shared" si="5"/>
        <v>268</v>
      </c>
      <c r="M81" t="s">
        <v>57</v>
      </c>
      <c r="N81" t="s">
        <v>58</v>
      </c>
      <c r="O81" t="s">
        <v>67</v>
      </c>
      <c r="P81">
        <v>4</v>
      </c>
    </row>
    <row r="82" spans="1:16" x14ac:dyDescent="0.25">
      <c r="A82" t="str">
        <f t="shared" si="3"/>
        <v>ORD0081</v>
      </c>
      <c r="B82" s="3">
        <v>46307</v>
      </c>
      <c r="C82" t="s">
        <v>81</v>
      </c>
      <c r="D82" t="s">
        <v>68</v>
      </c>
      <c r="E82" t="s">
        <v>42</v>
      </c>
      <c r="F82" t="s">
        <v>40</v>
      </c>
      <c r="G82">
        <v>1</v>
      </c>
      <c r="H82" s="10">
        <f>_xlfn.XLOOKUP(E82,Table18[Product],Table18[Unit_Price])</f>
        <v>80</v>
      </c>
      <c r="I82" s="10">
        <f>_xlfn.XLOOKUP(E82,Table18[Product],Table18[Cost_Price])</f>
        <v>40</v>
      </c>
      <c r="J82" s="10">
        <v>48</v>
      </c>
      <c r="K82" s="10">
        <f t="shared" si="4"/>
        <v>32</v>
      </c>
      <c r="L82" s="10">
        <f t="shared" si="5"/>
        <v>-8</v>
      </c>
      <c r="M82" t="s">
        <v>64</v>
      </c>
      <c r="N82" t="s">
        <v>54</v>
      </c>
      <c r="O82" t="s">
        <v>71</v>
      </c>
      <c r="P82">
        <v>5</v>
      </c>
    </row>
    <row r="83" spans="1:16" x14ac:dyDescent="0.25">
      <c r="A83" t="str">
        <f t="shared" si="3"/>
        <v>ORD0082</v>
      </c>
      <c r="B83" s="3">
        <v>46320</v>
      </c>
      <c r="C83" t="s">
        <v>103</v>
      </c>
      <c r="D83" t="s">
        <v>72</v>
      </c>
      <c r="E83" t="s">
        <v>24</v>
      </c>
      <c r="F83" t="s">
        <v>23</v>
      </c>
      <c r="G83">
        <v>2</v>
      </c>
      <c r="H83" s="10">
        <f>_xlfn.XLOOKUP(E83,Table18[Product],Table18[Unit_Price])</f>
        <v>210</v>
      </c>
      <c r="I83" s="10">
        <f>_xlfn.XLOOKUP(E83,Table18[Product],Table18[Cost_Price])</f>
        <v>105</v>
      </c>
      <c r="J83" s="10">
        <v>42</v>
      </c>
      <c r="K83" s="10">
        <f t="shared" si="4"/>
        <v>378</v>
      </c>
      <c r="L83" s="10">
        <f t="shared" si="5"/>
        <v>168</v>
      </c>
      <c r="M83" t="s">
        <v>49</v>
      </c>
      <c r="N83" t="s">
        <v>50</v>
      </c>
      <c r="O83" t="s">
        <v>51</v>
      </c>
      <c r="P83">
        <v>3</v>
      </c>
    </row>
    <row r="84" spans="1:16" x14ac:dyDescent="0.25">
      <c r="A84" t="str">
        <f t="shared" si="3"/>
        <v>ORD0083</v>
      </c>
      <c r="B84" s="3">
        <v>46220</v>
      </c>
      <c r="C84" t="s">
        <v>78</v>
      </c>
      <c r="D84" t="s">
        <v>72</v>
      </c>
      <c r="E84" t="s">
        <v>22</v>
      </c>
      <c r="F84" t="s">
        <v>23</v>
      </c>
      <c r="G84">
        <v>2</v>
      </c>
      <c r="H84" s="10">
        <f>_xlfn.XLOOKUP(E84,Table18[Product],Table18[Unit_Price])</f>
        <v>190</v>
      </c>
      <c r="I84" s="10">
        <f>_xlfn.XLOOKUP(E84,Table18[Product],Table18[Cost_Price])</f>
        <v>95</v>
      </c>
      <c r="J84" s="10">
        <v>35</v>
      </c>
      <c r="K84" s="10">
        <f t="shared" si="4"/>
        <v>345</v>
      </c>
      <c r="L84" s="10">
        <f t="shared" si="5"/>
        <v>155</v>
      </c>
      <c r="M84" t="s">
        <v>49</v>
      </c>
      <c r="N84" t="s">
        <v>50</v>
      </c>
      <c r="O84" t="s">
        <v>55</v>
      </c>
      <c r="P84">
        <v>3</v>
      </c>
    </row>
    <row r="85" spans="1:16" x14ac:dyDescent="0.25">
      <c r="A85" t="str">
        <f t="shared" si="3"/>
        <v>ORD0084</v>
      </c>
      <c r="B85" s="3">
        <v>46270</v>
      </c>
      <c r="C85" t="s">
        <v>89</v>
      </c>
      <c r="D85" t="s">
        <v>60</v>
      </c>
      <c r="E85" t="s">
        <v>18</v>
      </c>
      <c r="F85" t="s">
        <v>17</v>
      </c>
      <c r="G85">
        <v>5</v>
      </c>
      <c r="H85" s="10">
        <f>_xlfn.XLOOKUP(E85,Table18[Product],Table18[Unit_Price])</f>
        <v>180</v>
      </c>
      <c r="I85" s="10">
        <f>_xlfn.XLOOKUP(E85,Table18[Product],Table18[Cost_Price])</f>
        <v>90</v>
      </c>
      <c r="J85" s="10">
        <v>7</v>
      </c>
      <c r="K85" s="10">
        <f t="shared" si="4"/>
        <v>893</v>
      </c>
      <c r="L85" s="10">
        <f t="shared" si="5"/>
        <v>443</v>
      </c>
      <c r="M85" t="s">
        <v>49</v>
      </c>
      <c r="N85" t="s">
        <v>54</v>
      </c>
      <c r="O85" t="s">
        <v>59</v>
      </c>
      <c r="P85">
        <v>3</v>
      </c>
    </row>
    <row r="86" spans="1:16" x14ac:dyDescent="0.25">
      <c r="A86" t="str">
        <f t="shared" si="3"/>
        <v>ORD0085</v>
      </c>
      <c r="B86" s="3">
        <v>46058</v>
      </c>
      <c r="C86" t="s">
        <v>82</v>
      </c>
      <c r="D86" t="s">
        <v>56</v>
      </c>
      <c r="E86" t="s">
        <v>34</v>
      </c>
      <c r="F86" t="s">
        <v>35</v>
      </c>
      <c r="G86">
        <v>3</v>
      </c>
      <c r="H86" s="10">
        <f>_xlfn.XLOOKUP(E86,Table18[Product],Table18[Unit_Price])</f>
        <v>180</v>
      </c>
      <c r="I86" s="10">
        <f>_xlfn.XLOOKUP(E86,Table18[Product],Table18[Cost_Price])</f>
        <v>90</v>
      </c>
      <c r="J86" s="10">
        <v>19</v>
      </c>
      <c r="K86" s="10">
        <f t="shared" si="4"/>
        <v>521</v>
      </c>
      <c r="L86" s="10">
        <f t="shared" si="5"/>
        <v>251</v>
      </c>
      <c r="M86" t="s">
        <v>61</v>
      </c>
      <c r="N86" t="s">
        <v>54</v>
      </c>
      <c r="O86" t="s">
        <v>69</v>
      </c>
      <c r="P86">
        <v>3</v>
      </c>
    </row>
    <row r="87" spans="1:16" x14ac:dyDescent="0.25">
      <c r="A87" t="str">
        <f t="shared" si="3"/>
        <v>ORD0086</v>
      </c>
      <c r="B87" s="3">
        <v>46098</v>
      </c>
      <c r="C87" t="s">
        <v>95</v>
      </c>
      <c r="D87" t="s">
        <v>63</v>
      </c>
      <c r="E87" t="s">
        <v>27</v>
      </c>
      <c r="F87" t="s">
        <v>28</v>
      </c>
      <c r="G87">
        <v>2</v>
      </c>
      <c r="H87" s="10">
        <f>_xlfn.XLOOKUP(E87,Table18[Product],Table18[Unit_Price])</f>
        <v>140</v>
      </c>
      <c r="I87" s="10">
        <f>_xlfn.XLOOKUP(E87,Table18[Product],Table18[Cost_Price])</f>
        <v>70</v>
      </c>
      <c r="J87" s="10">
        <v>35</v>
      </c>
      <c r="K87" s="10">
        <f t="shared" si="4"/>
        <v>245</v>
      </c>
      <c r="L87" s="10">
        <f t="shared" si="5"/>
        <v>105</v>
      </c>
      <c r="M87" t="s">
        <v>64</v>
      </c>
      <c r="N87" t="s">
        <v>58</v>
      </c>
      <c r="O87" t="s">
        <v>55</v>
      </c>
      <c r="P87">
        <v>5</v>
      </c>
    </row>
    <row r="88" spans="1:16" x14ac:dyDescent="0.25">
      <c r="A88" t="str">
        <f t="shared" si="3"/>
        <v>ORD0087</v>
      </c>
      <c r="B88" s="3">
        <v>46029</v>
      </c>
      <c r="C88" t="s">
        <v>95</v>
      </c>
      <c r="D88" t="s">
        <v>66</v>
      </c>
      <c r="E88" t="s">
        <v>34</v>
      </c>
      <c r="F88" t="s">
        <v>35</v>
      </c>
      <c r="G88">
        <v>5</v>
      </c>
      <c r="H88" s="10">
        <f>_xlfn.XLOOKUP(E88,Table18[Product],Table18[Unit_Price])</f>
        <v>180</v>
      </c>
      <c r="I88" s="10">
        <f>_xlfn.XLOOKUP(E88,Table18[Product],Table18[Cost_Price])</f>
        <v>90</v>
      </c>
      <c r="J88" s="10">
        <v>40</v>
      </c>
      <c r="K88" s="10">
        <f t="shared" si="4"/>
        <v>860</v>
      </c>
      <c r="L88" s="10">
        <f t="shared" si="5"/>
        <v>410</v>
      </c>
      <c r="M88" t="s">
        <v>53</v>
      </c>
      <c r="N88" t="s">
        <v>50</v>
      </c>
      <c r="O88" t="s">
        <v>65</v>
      </c>
      <c r="P88">
        <v>4</v>
      </c>
    </row>
    <row r="89" spans="1:16" x14ac:dyDescent="0.25">
      <c r="A89" t="str">
        <f t="shared" si="3"/>
        <v>ORD0088</v>
      </c>
      <c r="B89" s="3">
        <v>46255</v>
      </c>
      <c r="C89" t="s">
        <v>89</v>
      </c>
      <c r="D89" t="s">
        <v>68</v>
      </c>
      <c r="E89" t="s">
        <v>42</v>
      </c>
      <c r="F89" t="s">
        <v>40</v>
      </c>
      <c r="G89">
        <v>4</v>
      </c>
      <c r="H89" s="10">
        <f>_xlfn.XLOOKUP(E89,Table18[Product],Table18[Unit_Price])</f>
        <v>80</v>
      </c>
      <c r="I89" s="10">
        <f>_xlfn.XLOOKUP(E89,Table18[Product],Table18[Cost_Price])</f>
        <v>40</v>
      </c>
      <c r="J89" s="10">
        <v>7</v>
      </c>
      <c r="K89" s="10">
        <f t="shared" si="4"/>
        <v>313</v>
      </c>
      <c r="L89" s="10">
        <f t="shared" si="5"/>
        <v>153</v>
      </c>
      <c r="M89" t="s">
        <v>57</v>
      </c>
      <c r="N89" t="s">
        <v>58</v>
      </c>
      <c r="O89" t="s">
        <v>71</v>
      </c>
      <c r="P89">
        <v>3</v>
      </c>
    </row>
    <row r="90" spans="1:16" x14ac:dyDescent="0.25">
      <c r="A90" t="str">
        <f t="shared" si="3"/>
        <v>ORD0089</v>
      </c>
      <c r="B90" s="3">
        <v>46073</v>
      </c>
      <c r="C90" t="s">
        <v>78</v>
      </c>
      <c r="D90" t="s">
        <v>56</v>
      </c>
      <c r="E90" t="s">
        <v>25</v>
      </c>
      <c r="F90" t="s">
        <v>26</v>
      </c>
      <c r="G90">
        <v>1</v>
      </c>
      <c r="H90" s="10">
        <f>_xlfn.XLOOKUP(E90,Table18[Product],Table18[Unit_Price])</f>
        <v>170</v>
      </c>
      <c r="I90" s="10">
        <f>_xlfn.XLOOKUP(E90,Table18[Product],Table18[Cost_Price])</f>
        <v>85</v>
      </c>
      <c r="J90" s="10">
        <v>32</v>
      </c>
      <c r="K90" s="10">
        <f t="shared" si="4"/>
        <v>138</v>
      </c>
      <c r="L90" s="10">
        <f t="shared" si="5"/>
        <v>53</v>
      </c>
      <c r="M90" t="s">
        <v>61</v>
      </c>
      <c r="N90" t="s">
        <v>54</v>
      </c>
      <c r="O90" t="s">
        <v>75</v>
      </c>
      <c r="P90">
        <v>4</v>
      </c>
    </row>
    <row r="91" spans="1:16" x14ac:dyDescent="0.25">
      <c r="A91" t="str">
        <f t="shared" si="3"/>
        <v>ORD0090</v>
      </c>
      <c r="B91" s="3">
        <v>46146</v>
      </c>
      <c r="C91" t="s">
        <v>95</v>
      </c>
      <c r="D91" t="s">
        <v>66</v>
      </c>
      <c r="E91" t="s">
        <v>22</v>
      </c>
      <c r="F91" t="s">
        <v>23</v>
      </c>
      <c r="G91">
        <v>4</v>
      </c>
      <c r="H91" s="10">
        <f>_xlfn.XLOOKUP(E91,Table18[Product],Table18[Unit_Price])</f>
        <v>190</v>
      </c>
      <c r="I91" s="10">
        <f>_xlfn.XLOOKUP(E91,Table18[Product],Table18[Cost_Price])</f>
        <v>95</v>
      </c>
      <c r="J91" s="10">
        <v>49</v>
      </c>
      <c r="K91" s="10">
        <f t="shared" si="4"/>
        <v>711</v>
      </c>
      <c r="L91" s="10">
        <f t="shared" si="5"/>
        <v>331</v>
      </c>
      <c r="M91" t="s">
        <v>49</v>
      </c>
      <c r="N91" t="s">
        <v>54</v>
      </c>
      <c r="O91" t="s">
        <v>73</v>
      </c>
      <c r="P91">
        <v>3</v>
      </c>
    </row>
    <row r="92" spans="1:16" x14ac:dyDescent="0.25">
      <c r="A92" t="str">
        <f t="shared" si="3"/>
        <v>ORD0091</v>
      </c>
      <c r="B92" s="3">
        <v>46296</v>
      </c>
      <c r="C92" t="s">
        <v>105</v>
      </c>
      <c r="D92" t="s">
        <v>66</v>
      </c>
      <c r="E92" t="s">
        <v>30</v>
      </c>
      <c r="F92" t="s">
        <v>31</v>
      </c>
      <c r="G92">
        <v>3</v>
      </c>
      <c r="H92" s="10">
        <f>_xlfn.XLOOKUP(E92,Table18[Product],Table18[Unit_Price])</f>
        <v>110</v>
      </c>
      <c r="I92" s="10">
        <f>_xlfn.XLOOKUP(E92,Table18[Product],Table18[Cost_Price])</f>
        <v>55</v>
      </c>
      <c r="J92" s="10">
        <v>26</v>
      </c>
      <c r="K92" s="10">
        <f t="shared" si="4"/>
        <v>304</v>
      </c>
      <c r="L92" s="10">
        <f t="shared" si="5"/>
        <v>139</v>
      </c>
      <c r="M92" t="s">
        <v>64</v>
      </c>
      <c r="N92" t="s">
        <v>50</v>
      </c>
      <c r="O92" t="s">
        <v>75</v>
      </c>
      <c r="P92">
        <v>3</v>
      </c>
    </row>
    <row r="93" spans="1:16" x14ac:dyDescent="0.25">
      <c r="A93" t="str">
        <f t="shared" si="3"/>
        <v>ORD0092</v>
      </c>
      <c r="B93" s="3">
        <v>46228</v>
      </c>
      <c r="C93" t="s">
        <v>101</v>
      </c>
      <c r="D93" t="s">
        <v>68</v>
      </c>
      <c r="E93" t="s">
        <v>24</v>
      </c>
      <c r="F93" t="s">
        <v>23</v>
      </c>
      <c r="G93">
        <v>2</v>
      </c>
      <c r="H93" s="10">
        <f>_xlfn.XLOOKUP(E93,Table18[Product],Table18[Unit_Price])</f>
        <v>210</v>
      </c>
      <c r="I93" s="10">
        <f>_xlfn.XLOOKUP(E93,Table18[Product],Table18[Cost_Price])</f>
        <v>105</v>
      </c>
      <c r="J93" s="10">
        <v>40</v>
      </c>
      <c r="K93" s="10">
        <f t="shared" si="4"/>
        <v>380</v>
      </c>
      <c r="L93" s="10">
        <f t="shared" si="5"/>
        <v>170</v>
      </c>
      <c r="M93" t="s">
        <v>61</v>
      </c>
      <c r="N93" t="s">
        <v>54</v>
      </c>
      <c r="O93" t="s">
        <v>69</v>
      </c>
      <c r="P93">
        <v>4</v>
      </c>
    </row>
    <row r="94" spans="1:16" x14ac:dyDescent="0.25">
      <c r="A94" t="str">
        <f t="shared" si="3"/>
        <v>ORD0093</v>
      </c>
      <c r="B94" s="3">
        <v>46302</v>
      </c>
      <c r="C94" t="s">
        <v>101</v>
      </c>
      <c r="D94" t="s">
        <v>68</v>
      </c>
      <c r="E94" t="s">
        <v>18</v>
      </c>
      <c r="F94" t="s">
        <v>17</v>
      </c>
      <c r="G94">
        <v>1</v>
      </c>
      <c r="H94" s="10">
        <f>_xlfn.XLOOKUP(E94,Table18[Product],Table18[Unit_Price])</f>
        <v>180</v>
      </c>
      <c r="I94" s="10">
        <f>_xlfn.XLOOKUP(E94,Table18[Product],Table18[Cost_Price])</f>
        <v>90</v>
      </c>
      <c r="J94" s="10">
        <v>16</v>
      </c>
      <c r="K94" s="10">
        <f t="shared" si="4"/>
        <v>164</v>
      </c>
      <c r="L94" s="10">
        <f t="shared" si="5"/>
        <v>74</v>
      </c>
      <c r="M94" t="s">
        <v>53</v>
      </c>
      <c r="N94" t="s">
        <v>50</v>
      </c>
      <c r="O94" t="s">
        <v>67</v>
      </c>
      <c r="P94">
        <v>4</v>
      </c>
    </row>
    <row r="95" spans="1:16" x14ac:dyDescent="0.25">
      <c r="A95" t="str">
        <f t="shared" si="3"/>
        <v>ORD0094</v>
      </c>
      <c r="B95" s="3">
        <v>46313</v>
      </c>
      <c r="C95" t="s">
        <v>100</v>
      </c>
      <c r="D95" t="s">
        <v>56</v>
      </c>
      <c r="E95" t="s">
        <v>21</v>
      </c>
      <c r="F95" t="s">
        <v>17</v>
      </c>
      <c r="G95">
        <v>2</v>
      </c>
      <c r="H95" s="10">
        <f>_xlfn.XLOOKUP(E95,Table18[Product],Table18[Unit_Price])</f>
        <v>220</v>
      </c>
      <c r="I95" s="10">
        <f>_xlfn.XLOOKUP(E95,Table18[Product],Table18[Cost_Price])</f>
        <v>110</v>
      </c>
      <c r="J95" s="10">
        <v>1</v>
      </c>
      <c r="K95" s="10">
        <f t="shared" si="4"/>
        <v>439</v>
      </c>
      <c r="L95" s="10">
        <f t="shared" si="5"/>
        <v>219</v>
      </c>
      <c r="M95" t="s">
        <v>64</v>
      </c>
      <c r="N95" t="s">
        <v>54</v>
      </c>
      <c r="O95" t="s">
        <v>69</v>
      </c>
      <c r="P95">
        <v>5</v>
      </c>
    </row>
    <row r="96" spans="1:16" x14ac:dyDescent="0.25">
      <c r="A96" t="str">
        <f t="shared" si="3"/>
        <v>ORD0095</v>
      </c>
      <c r="B96" s="3">
        <v>46256</v>
      </c>
      <c r="C96" t="s">
        <v>89</v>
      </c>
      <c r="D96" t="s">
        <v>52</v>
      </c>
      <c r="E96" t="s">
        <v>36</v>
      </c>
      <c r="F96" t="s">
        <v>35</v>
      </c>
      <c r="G96">
        <v>2</v>
      </c>
      <c r="H96" s="10">
        <f>_xlfn.XLOOKUP(E96,Table18[Product],Table18[Unit_Price])</f>
        <v>220</v>
      </c>
      <c r="I96" s="10">
        <f>_xlfn.XLOOKUP(E96,Table18[Product],Table18[Cost_Price])</f>
        <v>110</v>
      </c>
      <c r="J96" s="10">
        <v>45</v>
      </c>
      <c r="K96" s="10">
        <f t="shared" si="4"/>
        <v>395</v>
      </c>
      <c r="L96" s="10">
        <f t="shared" si="5"/>
        <v>175</v>
      </c>
      <c r="M96" t="s">
        <v>61</v>
      </c>
      <c r="N96" t="s">
        <v>50</v>
      </c>
      <c r="O96" t="s">
        <v>65</v>
      </c>
      <c r="P96">
        <v>5</v>
      </c>
    </row>
    <row r="97" spans="1:16" x14ac:dyDescent="0.25">
      <c r="A97" t="str">
        <f t="shared" si="3"/>
        <v>ORD0096</v>
      </c>
      <c r="B97" s="3">
        <v>46373</v>
      </c>
      <c r="C97" t="s">
        <v>79</v>
      </c>
      <c r="D97" t="s">
        <v>52</v>
      </c>
      <c r="E97" t="s">
        <v>38</v>
      </c>
      <c r="F97" t="s">
        <v>35</v>
      </c>
      <c r="G97">
        <v>2</v>
      </c>
      <c r="H97" s="10">
        <f>_xlfn.XLOOKUP(E97,Table18[Product],Table18[Unit_Price])</f>
        <v>170</v>
      </c>
      <c r="I97" s="10">
        <f>_xlfn.XLOOKUP(E97,Table18[Product],Table18[Cost_Price])</f>
        <v>85</v>
      </c>
      <c r="J97" s="10">
        <v>35</v>
      </c>
      <c r="K97" s="10">
        <f t="shared" si="4"/>
        <v>305</v>
      </c>
      <c r="L97" s="10">
        <f t="shared" si="5"/>
        <v>135</v>
      </c>
      <c r="M97" t="s">
        <v>53</v>
      </c>
      <c r="N97" t="s">
        <v>58</v>
      </c>
      <c r="O97" t="s">
        <v>73</v>
      </c>
      <c r="P97">
        <v>5</v>
      </c>
    </row>
    <row r="98" spans="1:16" x14ac:dyDescent="0.25">
      <c r="A98" t="str">
        <f t="shared" si="3"/>
        <v>ORD0097</v>
      </c>
      <c r="B98" s="3">
        <v>46317</v>
      </c>
      <c r="C98" t="s">
        <v>101</v>
      </c>
      <c r="D98" t="s">
        <v>48</v>
      </c>
      <c r="E98" t="s">
        <v>38</v>
      </c>
      <c r="F98" t="s">
        <v>35</v>
      </c>
      <c r="G98">
        <v>5</v>
      </c>
      <c r="H98" s="10">
        <f>_xlfn.XLOOKUP(E98,Table18[Product],Table18[Unit_Price])</f>
        <v>170</v>
      </c>
      <c r="I98" s="10">
        <f>_xlfn.XLOOKUP(E98,Table18[Product],Table18[Cost_Price])</f>
        <v>85</v>
      </c>
      <c r="J98" s="10">
        <v>19</v>
      </c>
      <c r="K98" s="10">
        <f t="shared" si="4"/>
        <v>831</v>
      </c>
      <c r="L98" s="10">
        <f t="shared" si="5"/>
        <v>406</v>
      </c>
      <c r="M98" t="s">
        <v>61</v>
      </c>
      <c r="N98" t="s">
        <v>58</v>
      </c>
      <c r="O98" t="s">
        <v>71</v>
      </c>
      <c r="P98">
        <v>4</v>
      </c>
    </row>
    <row r="99" spans="1:16" x14ac:dyDescent="0.25">
      <c r="A99" t="str">
        <f t="shared" si="3"/>
        <v>ORD0098</v>
      </c>
      <c r="B99" s="3">
        <v>46303</v>
      </c>
      <c r="C99" t="s">
        <v>101</v>
      </c>
      <c r="D99" t="s">
        <v>68</v>
      </c>
      <c r="E99" t="s">
        <v>24</v>
      </c>
      <c r="F99" t="s">
        <v>23</v>
      </c>
      <c r="G99">
        <v>2</v>
      </c>
      <c r="H99" s="10">
        <f>_xlfn.XLOOKUP(E99,Table18[Product],Table18[Unit_Price])</f>
        <v>210</v>
      </c>
      <c r="I99" s="10">
        <f>_xlfn.XLOOKUP(E99,Table18[Product],Table18[Cost_Price])</f>
        <v>105</v>
      </c>
      <c r="J99" s="10">
        <v>7</v>
      </c>
      <c r="K99" s="10">
        <f t="shared" si="4"/>
        <v>413</v>
      </c>
      <c r="L99" s="10">
        <f t="shared" si="5"/>
        <v>203</v>
      </c>
      <c r="M99" t="s">
        <v>64</v>
      </c>
      <c r="N99" t="s">
        <v>54</v>
      </c>
      <c r="O99" t="s">
        <v>51</v>
      </c>
      <c r="P99">
        <v>3</v>
      </c>
    </row>
    <row r="100" spans="1:16" x14ac:dyDescent="0.25">
      <c r="A100" t="str">
        <f t="shared" si="3"/>
        <v>ORD0099</v>
      </c>
      <c r="B100" s="3">
        <v>46349</v>
      </c>
      <c r="C100" t="s">
        <v>83</v>
      </c>
      <c r="D100" t="s">
        <v>60</v>
      </c>
      <c r="E100" t="s">
        <v>16</v>
      </c>
      <c r="F100" t="s">
        <v>17</v>
      </c>
      <c r="G100">
        <v>1</v>
      </c>
      <c r="H100" s="10">
        <f>_xlfn.XLOOKUP(E100,Table18[Product],Table18[Unit_Price])</f>
        <v>120</v>
      </c>
      <c r="I100" s="10">
        <f>_xlfn.XLOOKUP(E100,Table18[Product],Table18[Cost_Price])</f>
        <v>60</v>
      </c>
      <c r="J100" s="10">
        <v>19</v>
      </c>
      <c r="K100" s="10">
        <f t="shared" si="4"/>
        <v>101</v>
      </c>
      <c r="L100" s="10">
        <f t="shared" si="5"/>
        <v>41</v>
      </c>
      <c r="M100" t="s">
        <v>57</v>
      </c>
      <c r="N100" t="s">
        <v>50</v>
      </c>
      <c r="O100" t="s">
        <v>71</v>
      </c>
      <c r="P100">
        <v>5</v>
      </c>
    </row>
    <row r="101" spans="1:16" x14ac:dyDescent="0.25">
      <c r="A101" t="str">
        <f t="shared" si="3"/>
        <v>ORD0100</v>
      </c>
      <c r="B101" s="3">
        <v>46368</v>
      </c>
      <c r="C101" t="s">
        <v>78</v>
      </c>
      <c r="D101" t="s">
        <v>72</v>
      </c>
      <c r="E101" t="s">
        <v>38</v>
      </c>
      <c r="F101" t="s">
        <v>35</v>
      </c>
      <c r="G101">
        <v>3</v>
      </c>
      <c r="H101" s="10">
        <f>_xlfn.XLOOKUP(E101,Table18[Product],Table18[Unit_Price])</f>
        <v>170</v>
      </c>
      <c r="I101" s="10">
        <f>_xlfn.XLOOKUP(E101,Table18[Product],Table18[Cost_Price])</f>
        <v>85</v>
      </c>
      <c r="J101" s="10">
        <v>38</v>
      </c>
      <c r="K101" s="10">
        <f t="shared" si="4"/>
        <v>472</v>
      </c>
      <c r="L101" s="10">
        <f t="shared" si="5"/>
        <v>217</v>
      </c>
      <c r="M101" t="s">
        <v>57</v>
      </c>
      <c r="N101" t="s">
        <v>54</v>
      </c>
      <c r="O101" t="s">
        <v>71</v>
      </c>
      <c r="P101">
        <v>5</v>
      </c>
    </row>
    <row r="102" spans="1:16" x14ac:dyDescent="0.25">
      <c r="A102" t="str">
        <f t="shared" si="3"/>
        <v>ORD0101</v>
      </c>
      <c r="B102" s="3">
        <v>46168</v>
      </c>
      <c r="C102" t="s">
        <v>104</v>
      </c>
      <c r="D102" t="s">
        <v>48</v>
      </c>
      <c r="E102" t="s">
        <v>41</v>
      </c>
      <c r="F102" t="s">
        <v>40</v>
      </c>
      <c r="G102">
        <v>5</v>
      </c>
      <c r="H102" s="10">
        <f>_xlfn.XLOOKUP(E102,Table18[Product],Table18[Unit_Price])</f>
        <v>100</v>
      </c>
      <c r="I102" s="10">
        <f>_xlfn.XLOOKUP(E102,Table18[Product],Table18[Cost_Price])</f>
        <v>50</v>
      </c>
      <c r="J102" s="10">
        <v>23</v>
      </c>
      <c r="K102" s="10">
        <f t="shared" si="4"/>
        <v>477</v>
      </c>
      <c r="L102" s="10">
        <f t="shared" si="5"/>
        <v>227</v>
      </c>
      <c r="M102" t="s">
        <v>64</v>
      </c>
      <c r="N102" t="s">
        <v>58</v>
      </c>
      <c r="O102" t="s">
        <v>73</v>
      </c>
      <c r="P102">
        <v>3</v>
      </c>
    </row>
    <row r="103" spans="1:16" x14ac:dyDescent="0.25">
      <c r="A103" t="str">
        <f t="shared" si="3"/>
        <v>ORD0102</v>
      </c>
      <c r="B103" s="3">
        <v>46377</v>
      </c>
      <c r="C103" t="s">
        <v>98</v>
      </c>
      <c r="D103" t="s">
        <v>70</v>
      </c>
      <c r="E103" t="s">
        <v>24</v>
      </c>
      <c r="F103" t="s">
        <v>23</v>
      </c>
      <c r="G103">
        <v>3</v>
      </c>
      <c r="H103" s="10">
        <f>_xlfn.XLOOKUP(E103,Table18[Product],Table18[Unit_Price])</f>
        <v>210</v>
      </c>
      <c r="I103" s="10">
        <f>_xlfn.XLOOKUP(E103,Table18[Product],Table18[Cost_Price])</f>
        <v>105</v>
      </c>
      <c r="J103" s="10">
        <v>29</v>
      </c>
      <c r="K103" s="10">
        <f t="shared" si="4"/>
        <v>601</v>
      </c>
      <c r="L103" s="10">
        <f t="shared" si="5"/>
        <v>286</v>
      </c>
      <c r="M103" t="s">
        <v>64</v>
      </c>
      <c r="N103" t="s">
        <v>54</v>
      </c>
      <c r="O103" t="s">
        <v>55</v>
      </c>
      <c r="P103">
        <v>5</v>
      </c>
    </row>
    <row r="104" spans="1:16" x14ac:dyDescent="0.25">
      <c r="A104" t="str">
        <f t="shared" si="3"/>
        <v>ORD0103</v>
      </c>
      <c r="B104" s="3">
        <v>46331</v>
      </c>
      <c r="C104" t="s">
        <v>83</v>
      </c>
      <c r="D104" t="s">
        <v>52</v>
      </c>
      <c r="E104" t="s">
        <v>34</v>
      </c>
      <c r="F104" t="s">
        <v>35</v>
      </c>
      <c r="G104">
        <v>3</v>
      </c>
      <c r="H104" s="10">
        <f>_xlfn.XLOOKUP(E104,Table18[Product],Table18[Unit_Price])</f>
        <v>180</v>
      </c>
      <c r="I104" s="10">
        <f>_xlfn.XLOOKUP(E104,Table18[Product],Table18[Cost_Price])</f>
        <v>90</v>
      </c>
      <c r="J104" s="10">
        <v>8</v>
      </c>
      <c r="K104" s="10">
        <f t="shared" si="4"/>
        <v>532</v>
      </c>
      <c r="L104" s="10">
        <f t="shared" si="5"/>
        <v>262</v>
      </c>
      <c r="M104" t="s">
        <v>49</v>
      </c>
      <c r="N104" t="s">
        <v>58</v>
      </c>
      <c r="O104" t="s">
        <v>73</v>
      </c>
      <c r="P104">
        <v>3</v>
      </c>
    </row>
    <row r="105" spans="1:16" x14ac:dyDescent="0.25">
      <c r="A105" t="str">
        <f t="shared" si="3"/>
        <v>ORD0104</v>
      </c>
      <c r="B105" s="3">
        <v>46298</v>
      </c>
      <c r="C105" t="s">
        <v>82</v>
      </c>
      <c r="D105" t="s">
        <v>60</v>
      </c>
      <c r="E105" t="s">
        <v>21</v>
      </c>
      <c r="F105" t="s">
        <v>17</v>
      </c>
      <c r="G105">
        <v>3</v>
      </c>
      <c r="H105" s="10">
        <f>_xlfn.XLOOKUP(E105,Table18[Product],Table18[Unit_Price])</f>
        <v>220</v>
      </c>
      <c r="I105" s="10">
        <f>_xlfn.XLOOKUP(E105,Table18[Product],Table18[Cost_Price])</f>
        <v>110</v>
      </c>
      <c r="J105" s="10">
        <v>42</v>
      </c>
      <c r="K105" s="10">
        <f t="shared" si="4"/>
        <v>618</v>
      </c>
      <c r="L105" s="10">
        <f t="shared" si="5"/>
        <v>288</v>
      </c>
      <c r="M105" t="s">
        <v>49</v>
      </c>
      <c r="N105" t="s">
        <v>58</v>
      </c>
      <c r="O105" t="s">
        <v>62</v>
      </c>
      <c r="P105">
        <v>5</v>
      </c>
    </row>
    <row r="106" spans="1:16" x14ac:dyDescent="0.25">
      <c r="A106" t="str">
        <f t="shared" si="3"/>
        <v>ORD0105</v>
      </c>
      <c r="B106" s="3">
        <v>46335</v>
      </c>
      <c r="C106" t="s">
        <v>80</v>
      </c>
      <c r="D106" t="s">
        <v>48</v>
      </c>
      <c r="E106" t="s">
        <v>30</v>
      </c>
      <c r="F106" t="s">
        <v>31</v>
      </c>
      <c r="G106">
        <v>1</v>
      </c>
      <c r="H106" s="10">
        <f>_xlfn.XLOOKUP(E106,Table18[Product],Table18[Unit_Price])</f>
        <v>110</v>
      </c>
      <c r="I106" s="10">
        <f>_xlfn.XLOOKUP(E106,Table18[Product],Table18[Cost_Price])</f>
        <v>55</v>
      </c>
      <c r="J106" s="10">
        <v>25</v>
      </c>
      <c r="K106" s="10">
        <f t="shared" si="4"/>
        <v>85</v>
      </c>
      <c r="L106" s="10">
        <f t="shared" si="5"/>
        <v>30</v>
      </c>
      <c r="M106" t="s">
        <v>64</v>
      </c>
      <c r="N106" t="s">
        <v>58</v>
      </c>
      <c r="O106" t="s">
        <v>59</v>
      </c>
      <c r="P106">
        <v>3</v>
      </c>
    </row>
    <row r="107" spans="1:16" x14ac:dyDescent="0.25">
      <c r="A107" t="str">
        <f t="shared" si="3"/>
        <v>ORD0106</v>
      </c>
      <c r="B107" s="3">
        <v>46273</v>
      </c>
      <c r="C107" t="s">
        <v>89</v>
      </c>
      <c r="D107" t="s">
        <v>70</v>
      </c>
      <c r="E107" t="s">
        <v>21</v>
      </c>
      <c r="F107" t="s">
        <v>17</v>
      </c>
      <c r="G107">
        <v>3</v>
      </c>
      <c r="H107" s="10">
        <f>_xlfn.XLOOKUP(E107,Table18[Product],Table18[Unit_Price])</f>
        <v>220</v>
      </c>
      <c r="I107" s="10">
        <f>_xlfn.XLOOKUP(E107,Table18[Product],Table18[Cost_Price])</f>
        <v>110</v>
      </c>
      <c r="J107" s="10">
        <v>27</v>
      </c>
      <c r="K107" s="10">
        <f t="shared" si="4"/>
        <v>633</v>
      </c>
      <c r="L107" s="10">
        <f t="shared" si="5"/>
        <v>303</v>
      </c>
      <c r="M107" t="s">
        <v>61</v>
      </c>
      <c r="N107" t="s">
        <v>54</v>
      </c>
      <c r="O107" t="s">
        <v>75</v>
      </c>
      <c r="P107">
        <v>4</v>
      </c>
    </row>
    <row r="108" spans="1:16" x14ac:dyDescent="0.25">
      <c r="A108" t="str">
        <f t="shared" si="3"/>
        <v>ORD0107</v>
      </c>
      <c r="B108" s="3">
        <v>46150</v>
      </c>
      <c r="C108" t="s">
        <v>87</v>
      </c>
      <c r="D108" t="s">
        <v>74</v>
      </c>
      <c r="E108" t="s">
        <v>39</v>
      </c>
      <c r="F108" t="s">
        <v>40</v>
      </c>
      <c r="G108">
        <v>4</v>
      </c>
      <c r="H108" s="10">
        <f>_xlfn.XLOOKUP(E108,Table18[Product],Table18[Unit_Price])</f>
        <v>240</v>
      </c>
      <c r="I108" s="10">
        <f>_xlfn.XLOOKUP(E108,Table18[Product],Table18[Cost_Price])</f>
        <v>120</v>
      </c>
      <c r="J108" s="10">
        <v>6</v>
      </c>
      <c r="K108" s="10">
        <f t="shared" si="4"/>
        <v>954</v>
      </c>
      <c r="L108" s="10">
        <f t="shared" si="5"/>
        <v>474</v>
      </c>
      <c r="M108" t="s">
        <v>57</v>
      </c>
      <c r="N108" t="s">
        <v>54</v>
      </c>
      <c r="O108" t="s">
        <v>75</v>
      </c>
      <c r="P108">
        <v>3</v>
      </c>
    </row>
    <row r="109" spans="1:16" x14ac:dyDescent="0.25">
      <c r="A109" t="str">
        <f t="shared" si="3"/>
        <v>ORD0108</v>
      </c>
      <c r="B109" s="3">
        <v>46311</v>
      </c>
      <c r="C109" t="s">
        <v>105</v>
      </c>
      <c r="D109" t="s">
        <v>74</v>
      </c>
      <c r="E109" t="s">
        <v>29</v>
      </c>
      <c r="F109" t="s">
        <v>28</v>
      </c>
      <c r="G109">
        <v>3</v>
      </c>
      <c r="H109" s="10">
        <f>_xlfn.XLOOKUP(E109,Table18[Product],Table18[Unit_Price])</f>
        <v>120</v>
      </c>
      <c r="I109" s="10">
        <f>_xlfn.XLOOKUP(E109,Table18[Product],Table18[Cost_Price])</f>
        <v>60</v>
      </c>
      <c r="J109" s="10">
        <v>13</v>
      </c>
      <c r="K109" s="10">
        <f t="shared" si="4"/>
        <v>347</v>
      </c>
      <c r="L109" s="10">
        <f t="shared" si="5"/>
        <v>167</v>
      </c>
      <c r="M109" t="s">
        <v>53</v>
      </c>
      <c r="N109" t="s">
        <v>50</v>
      </c>
      <c r="O109" t="s">
        <v>73</v>
      </c>
      <c r="P109">
        <v>4</v>
      </c>
    </row>
    <row r="110" spans="1:16" x14ac:dyDescent="0.25">
      <c r="A110" t="str">
        <f t="shared" si="3"/>
        <v>ORD0109</v>
      </c>
      <c r="B110" s="3">
        <v>46024</v>
      </c>
      <c r="C110" t="s">
        <v>91</v>
      </c>
      <c r="D110" t="s">
        <v>48</v>
      </c>
      <c r="E110" t="s">
        <v>19</v>
      </c>
      <c r="F110" t="s">
        <v>17</v>
      </c>
      <c r="G110">
        <v>2</v>
      </c>
      <c r="H110" s="10">
        <f>_xlfn.XLOOKUP(E110,Table18[Product],Table18[Unit_Price])</f>
        <v>200</v>
      </c>
      <c r="I110" s="10">
        <f>_xlfn.XLOOKUP(E110,Table18[Product],Table18[Cost_Price])</f>
        <v>100</v>
      </c>
      <c r="J110" s="10">
        <v>35</v>
      </c>
      <c r="K110" s="10">
        <f t="shared" si="4"/>
        <v>365</v>
      </c>
      <c r="L110" s="10">
        <f t="shared" si="5"/>
        <v>165</v>
      </c>
      <c r="M110" t="s">
        <v>64</v>
      </c>
      <c r="N110" t="s">
        <v>54</v>
      </c>
      <c r="O110" t="s">
        <v>69</v>
      </c>
      <c r="P110">
        <v>4</v>
      </c>
    </row>
    <row r="111" spans="1:16" x14ac:dyDescent="0.25">
      <c r="A111" t="str">
        <f t="shared" si="3"/>
        <v>ORD0110</v>
      </c>
      <c r="B111" s="3">
        <v>46195</v>
      </c>
      <c r="C111" t="s">
        <v>95</v>
      </c>
      <c r="D111" t="s">
        <v>74</v>
      </c>
      <c r="E111" t="s">
        <v>33</v>
      </c>
      <c r="F111" t="s">
        <v>31</v>
      </c>
      <c r="G111">
        <v>5</v>
      </c>
      <c r="H111" s="10">
        <f>_xlfn.XLOOKUP(E111,Table18[Product],Table18[Unit_Price])</f>
        <v>150</v>
      </c>
      <c r="I111" s="10">
        <f>_xlfn.XLOOKUP(E111,Table18[Product],Table18[Cost_Price])</f>
        <v>75</v>
      </c>
      <c r="J111" s="10">
        <v>11</v>
      </c>
      <c r="K111" s="10">
        <f t="shared" si="4"/>
        <v>739</v>
      </c>
      <c r="L111" s="10">
        <f t="shared" si="5"/>
        <v>364</v>
      </c>
      <c r="M111" t="s">
        <v>57</v>
      </c>
      <c r="N111" t="s">
        <v>50</v>
      </c>
      <c r="O111" t="s">
        <v>62</v>
      </c>
      <c r="P111">
        <v>5</v>
      </c>
    </row>
    <row r="112" spans="1:16" x14ac:dyDescent="0.25">
      <c r="A112" t="str">
        <f t="shared" si="3"/>
        <v>ORD0111</v>
      </c>
      <c r="B112" s="3">
        <v>46322</v>
      </c>
      <c r="C112" t="s">
        <v>87</v>
      </c>
      <c r="D112" t="s">
        <v>60</v>
      </c>
      <c r="E112" t="s">
        <v>42</v>
      </c>
      <c r="F112" t="s">
        <v>40</v>
      </c>
      <c r="G112">
        <v>5</v>
      </c>
      <c r="H112" s="10">
        <f>_xlfn.XLOOKUP(E112,Table18[Product],Table18[Unit_Price])</f>
        <v>80</v>
      </c>
      <c r="I112" s="10">
        <f>_xlfn.XLOOKUP(E112,Table18[Product],Table18[Cost_Price])</f>
        <v>40</v>
      </c>
      <c r="J112" s="10">
        <v>23</v>
      </c>
      <c r="K112" s="10">
        <f t="shared" si="4"/>
        <v>377</v>
      </c>
      <c r="L112" s="10">
        <f t="shared" si="5"/>
        <v>177</v>
      </c>
      <c r="M112" t="s">
        <v>49</v>
      </c>
      <c r="N112" t="s">
        <v>50</v>
      </c>
      <c r="O112" t="s">
        <v>59</v>
      </c>
      <c r="P112">
        <v>4</v>
      </c>
    </row>
    <row r="113" spans="1:16" x14ac:dyDescent="0.25">
      <c r="A113" t="str">
        <f t="shared" si="3"/>
        <v>ORD0112</v>
      </c>
      <c r="B113" s="3">
        <v>46245</v>
      </c>
      <c r="C113" t="s">
        <v>89</v>
      </c>
      <c r="D113" t="s">
        <v>52</v>
      </c>
      <c r="E113" t="s">
        <v>16</v>
      </c>
      <c r="F113" t="s">
        <v>17</v>
      </c>
      <c r="G113">
        <v>5</v>
      </c>
      <c r="H113" s="10">
        <f>_xlfn.XLOOKUP(E113,Table18[Product],Table18[Unit_Price])</f>
        <v>120</v>
      </c>
      <c r="I113" s="10">
        <f>_xlfn.XLOOKUP(E113,Table18[Product],Table18[Cost_Price])</f>
        <v>60</v>
      </c>
      <c r="J113" s="10">
        <v>30</v>
      </c>
      <c r="K113" s="10">
        <f t="shared" si="4"/>
        <v>570</v>
      </c>
      <c r="L113" s="10">
        <f t="shared" si="5"/>
        <v>270</v>
      </c>
      <c r="M113" t="s">
        <v>53</v>
      </c>
      <c r="N113" t="s">
        <v>58</v>
      </c>
      <c r="O113" t="s">
        <v>65</v>
      </c>
      <c r="P113">
        <v>3</v>
      </c>
    </row>
    <row r="114" spans="1:16" x14ac:dyDescent="0.25">
      <c r="A114" t="str">
        <f t="shared" si="3"/>
        <v>ORD0113</v>
      </c>
      <c r="B114" s="3">
        <v>46195</v>
      </c>
      <c r="C114" t="s">
        <v>80</v>
      </c>
      <c r="D114" t="s">
        <v>70</v>
      </c>
      <c r="E114" t="s">
        <v>21</v>
      </c>
      <c r="F114" t="s">
        <v>17</v>
      </c>
      <c r="G114">
        <v>2</v>
      </c>
      <c r="H114" s="10">
        <f>_xlfn.XLOOKUP(E114,Table18[Product],Table18[Unit_Price])</f>
        <v>220</v>
      </c>
      <c r="I114" s="10">
        <f>_xlfn.XLOOKUP(E114,Table18[Product],Table18[Cost_Price])</f>
        <v>110</v>
      </c>
      <c r="J114" s="10">
        <v>19</v>
      </c>
      <c r="K114" s="10">
        <f t="shared" si="4"/>
        <v>421</v>
      </c>
      <c r="L114" s="10">
        <f t="shared" si="5"/>
        <v>201</v>
      </c>
      <c r="M114" t="s">
        <v>61</v>
      </c>
      <c r="N114" t="s">
        <v>50</v>
      </c>
      <c r="O114" t="s">
        <v>55</v>
      </c>
      <c r="P114">
        <v>4</v>
      </c>
    </row>
    <row r="115" spans="1:16" x14ac:dyDescent="0.25">
      <c r="A115" t="str">
        <f t="shared" si="3"/>
        <v>ORD0114</v>
      </c>
      <c r="B115" s="3">
        <v>46274</v>
      </c>
      <c r="C115" t="s">
        <v>96</v>
      </c>
      <c r="D115" t="s">
        <v>70</v>
      </c>
      <c r="E115" t="s">
        <v>36</v>
      </c>
      <c r="F115" t="s">
        <v>35</v>
      </c>
      <c r="G115">
        <v>2</v>
      </c>
      <c r="H115" s="10">
        <f>_xlfn.XLOOKUP(E115,Table18[Product],Table18[Unit_Price])</f>
        <v>220</v>
      </c>
      <c r="I115" s="10">
        <f>_xlfn.XLOOKUP(E115,Table18[Product],Table18[Cost_Price])</f>
        <v>110</v>
      </c>
      <c r="J115" s="10">
        <v>40</v>
      </c>
      <c r="K115" s="10">
        <f t="shared" si="4"/>
        <v>400</v>
      </c>
      <c r="L115" s="10">
        <f t="shared" si="5"/>
        <v>180</v>
      </c>
      <c r="M115" t="s">
        <v>64</v>
      </c>
      <c r="N115" t="s">
        <v>54</v>
      </c>
      <c r="O115" t="s">
        <v>69</v>
      </c>
      <c r="P115">
        <v>5</v>
      </c>
    </row>
    <row r="116" spans="1:16" x14ac:dyDescent="0.25">
      <c r="A116" t="str">
        <f t="shared" si="3"/>
        <v>ORD0115</v>
      </c>
      <c r="B116" s="3">
        <v>46285</v>
      </c>
      <c r="C116" t="s">
        <v>91</v>
      </c>
      <c r="D116" t="s">
        <v>66</v>
      </c>
      <c r="E116" t="s">
        <v>22</v>
      </c>
      <c r="F116" t="s">
        <v>23</v>
      </c>
      <c r="G116">
        <v>5</v>
      </c>
      <c r="H116" s="10">
        <f>_xlfn.XLOOKUP(E116,Table18[Product],Table18[Unit_Price])</f>
        <v>190</v>
      </c>
      <c r="I116" s="10">
        <f>_xlfn.XLOOKUP(E116,Table18[Product],Table18[Cost_Price])</f>
        <v>95</v>
      </c>
      <c r="J116" s="10">
        <v>44</v>
      </c>
      <c r="K116" s="10">
        <f t="shared" si="4"/>
        <v>906</v>
      </c>
      <c r="L116" s="10">
        <f t="shared" si="5"/>
        <v>431</v>
      </c>
      <c r="M116" t="s">
        <v>64</v>
      </c>
      <c r="N116" t="s">
        <v>54</v>
      </c>
      <c r="O116" t="s">
        <v>65</v>
      </c>
      <c r="P116">
        <v>3</v>
      </c>
    </row>
    <row r="117" spans="1:16" x14ac:dyDescent="0.25">
      <c r="A117" t="str">
        <f t="shared" si="3"/>
        <v>ORD0116</v>
      </c>
      <c r="B117" s="3">
        <v>46163</v>
      </c>
      <c r="C117" t="s">
        <v>98</v>
      </c>
      <c r="D117" t="s">
        <v>56</v>
      </c>
      <c r="E117" t="s">
        <v>18</v>
      </c>
      <c r="F117" t="s">
        <v>17</v>
      </c>
      <c r="G117">
        <v>3</v>
      </c>
      <c r="H117" s="10">
        <f>_xlfn.XLOOKUP(E117,Table18[Product],Table18[Unit_Price])</f>
        <v>180</v>
      </c>
      <c r="I117" s="10">
        <f>_xlfn.XLOOKUP(E117,Table18[Product],Table18[Cost_Price])</f>
        <v>90</v>
      </c>
      <c r="J117" s="10">
        <v>50</v>
      </c>
      <c r="K117" s="10">
        <f t="shared" si="4"/>
        <v>490</v>
      </c>
      <c r="L117" s="10">
        <f t="shared" si="5"/>
        <v>220</v>
      </c>
      <c r="M117" t="s">
        <v>49</v>
      </c>
      <c r="N117" t="s">
        <v>50</v>
      </c>
      <c r="O117" t="s">
        <v>71</v>
      </c>
      <c r="P117">
        <v>5</v>
      </c>
    </row>
    <row r="118" spans="1:16" x14ac:dyDescent="0.25">
      <c r="A118" t="str">
        <f t="shared" si="3"/>
        <v>ORD0117</v>
      </c>
      <c r="B118" s="3">
        <v>46174</v>
      </c>
      <c r="C118" t="s">
        <v>88</v>
      </c>
      <c r="D118" t="s">
        <v>48</v>
      </c>
      <c r="E118" t="s">
        <v>25</v>
      </c>
      <c r="F118" t="s">
        <v>26</v>
      </c>
      <c r="G118">
        <v>3</v>
      </c>
      <c r="H118" s="10">
        <f>_xlfn.XLOOKUP(E118,Table18[Product],Table18[Unit_Price])</f>
        <v>170</v>
      </c>
      <c r="I118" s="10">
        <f>_xlfn.XLOOKUP(E118,Table18[Product],Table18[Cost_Price])</f>
        <v>85</v>
      </c>
      <c r="J118" s="10">
        <v>17</v>
      </c>
      <c r="K118" s="10">
        <f t="shared" si="4"/>
        <v>493</v>
      </c>
      <c r="L118" s="10">
        <f t="shared" si="5"/>
        <v>238</v>
      </c>
      <c r="M118" t="s">
        <v>49</v>
      </c>
      <c r="N118" t="s">
        <v>54</v>
      </c>
      <c r="O118" t="s">
        <v>55</v>
      </c>
      <c r="P118">
        <v>3</v>
      </c>
    </row>
    <row r="119" spans="1:16" x14ac:dyDescent="0.25">
      <c r="A119" t="str">
        <f t="shared" si="3"/>
        <v>ORD0118</v>
      </c>
      <c r="B119" s="3">
        <v>46097</v>
      </c>
      <c r="C119" t="s">
        <v>80</v>
      </c>
      <c r="D119" t="s">
        <v>66</v>
      </c>
      <c r="E119" t="s">
        <v>24</v>
      </c>
      <c r="F119" t="s">
        <v>23</v>
      </c>
      <c r="G119">
        <v>1</v>
      </c>
      <c r="H119" s="10">
        <f>_xlfn.XLOOKUP(E119,Table18[Product],Table18[Unit_Price])</f>
        <v>210</v>
      </c>
      <c r="I119" s="10">
        <f>_xlfn.XLOOKUP(E119,Table18[Product],Table18[Cost_Price])</f>
        <v>105</v>
      </c>
      <c r="J119" s="10">
        <v>30</v>
      </c>
      <c r="K119" s="10">
        <f t="shared" si="4"/>
        <v>180</v>
      </c>
      <c r="L119" s="10">
        <f t="shared" si="5"/>
        <v>75</v>
      </c>
      <c r="M119" t="s">
        <v>49</v>
      </c>
      <c r="N119" t="s">
        <v>58</v>
      </c>
      <c r="O119" t="s">
        <v>69</v>
      </c>
      <c r="P119">
        <v>4</v>
      </c>
    </row>
    <row r="120" spans="1:16" x14ac:dyDescent="0.25">
      <c r="A120" t="str">
        <f t="shared" si="3"/>
        <v>ORD0119</v>
      </c>
      <c r="B120" s="3">
        <v>46205</v>
      </c>
      <c r="C120" t="s">
        <v>82</v>
      </c>
      <c r="D120" t="s">
        <v>70</v>
      </c>
      <c r="E120" t="s">
        <v>41</v>
      </c>
      <c r="F120" t="s">
        <v>40</v>
      </c>
      <c r="G120">
        <v>4</v>
      </c>
      <c r="H120" s="10">
        <f>_xlfn.XLOOKUP(E120,Table18[Product],Table18[Unit_Price])</f>
        <v>100</v>
      </c>
      <c r="I120" s="10">
        <f>_xlfn.XLOOKUP(E120,Table18[Product],Table18[Cost_Price])</f>
        <v>50</v>
      </c>
      <c r="J120" s="10">
        <v>8</v>
      </c>
      <c r="K120" s="10">
        <f t="shared" si="4"/>
        <v>392</v>
      </c>
      <c r="L120" s="10">
        <f t="shared" si="5"/>
        <v>192</v>
      </c>
      <c r="M120" t="s">
        <v>57</v>
      </c>
      <c r="N120" t="s">
        <v>50</v>
      </c>
      <c r="O120" t="s">
        <v>51</v>
      </c>
      <c r="P120">
        <v>4</v>
      </c>
    </row>
    <row r="121" spans="1:16" x14ac:dyDescent="0.25">
      <c r="A121" t="str">
        <f t="shared" si="3"/>
        <v>ORD0120</v>
      </c>
      <c r="B121" s="3">
        <v>46375</v>
      </c>
      <c r="C121" t="s">
        <v>85</v>
      </c>
      <c r="D121" t="s">
        <v>72</v>
      </c>
      <c r="E121" t="s">
        <v>24</v>
      </c>
      <c r="F121" t="s">
        <v>23</v>
      </c>
      <c r="G121">
        <v>3</v>
      </c>
      <c r="H121" s="10">
        <f>_xlfn.XLOOKUP(E121,Table18[Product],Table18[Unit_Price])</f>
        <v>210</v>
      </c>
      <c r="I121" s="10">
        <f>_xlfn.XLOOKUP(E121,Table18[Product],Table18[Cost_Price])</f>
        <v>105</v>
      </c>
      <c r="J121" s="10">
        <v>33</v>
      </c>
      <c r="K121" s="10">
        <f t="shared" si="4"/>
        <v>597</v>
      </c>
      <c r="L121" s="10">
        <f t="shared" si="5"/>
        <v>282</v>
      </c>
      <c r="M121" t="s">
        <v>53</v>
      </c>
      <c r="N121" t="s">
        <v>50</v>
      </c>
      <c r="O121" t="s">
        <v>67</v>
      </c>
      <c r="P121">
        <v>4</v>
      </c>
    </row>
    <row r="122" spans="1:16" x14ac:dyDescent="0.25">
      <c r="A122" t="str">
        <f t="shared" si="3"/>
        <v>ORD0121</v>
      </c>
      <c r="B122" s="3">
        <v>46299</v>
      </c>
      <c r="C122" t="s">
        <v>76</v>
      </c>
      <c r="D122" t="s">
        <v>56</v>
      </c>
      <c r="E122" t="s">
        <v>20</v>
      </c>
      <c r="F122" t="s">
        <v>17</v>
      </c>
      <c r="G122">
        <v>3</v>
      </c>
      <c r="H122" s="10">
        <f>_xlfn.XLOOKUP(E122,Table18[Product],Table18[Unit_Price])</f>
        <v>150</v>
      </c>
      <c r="I122" s="10">
        <f>_xlfn.XLOOKUP(E122,Table18[Product],Table18[Cost_Price])</f>
        <v>75</v>
      </c>
      <c r="J122" s="10">
        <v>4</v>
      </c>
      <c r="K122" s="10">
        <f t="shared" si="4"/>
        <v>446</v>
      </c>
      <c r="L122" s="10">
        <f t="shared" si="5"/>
        <v>221</v>
      </c>
      <c r="M122" t="s">
        <v>61</v>
      </c>
      <c r="N122" t="s">
        <v>50</v>
      </c>
      <c r="O122" t="s">
        <v>73</v>
      </c>
      <c r="P122">
        <v>3</v>
      </c>
    </row>
    <row r="123" spans="1:16" x14ac:dyDescent="0.25">
      <c r="A123" t="str">
        <f t="shared" si="3"/>
        <v>ORD0122</v>
      </c>
      <c r="B123" s="3">
        <v>46116</v>
      </c>
      <c r="C123" t="s">
        <v>95</v>
      </c>
      <c r="D123" t="s">
        <v>48</v>
      </c>
      <c r="E123" t="s">
        <v>41</v>
      </c>
      <c r="F123" t="s">
        <v>40</v>
      </c>
      <c r="G123">
        <v>5</v>
      </c>
      <c r="H123" s="10">
        <f>_xlfn.XLOOKUP(E123,Table18[Product],Table18[Unit_Price])</f>
        <v>100</v>
      </c>
      <c r="I123" s="10">
        <f>_xlfn.XLOOKUP(E123,Table18[Product],Table18[Cost_Price])</f>
        <v>50</v>
      </c>
      <c r="J123" s="10">
        <v>17</v>
      </c>
      <c r="K123" s="10">
        <f t="shared" si="4"/>
        <v>483</v>
      </c>
      <c r="L123" s="10">
        <f t="shared" si="5"/>
        <v>233</v>
      </c>
      <c r="M123" t="s">
        <v>57</v>
      </c>
      <c r="N123" t="s">
        <v>58</v>
      </c>
      <c r="O123" t="s">
        <v>51</v>
      </c>
      <c r="P123">
        <v>3</v>
      </c>
    </row>
    <row r="124" spans="1:16" x14ac:dyDescent="0.25">
      <c r="A124" t="str">
        <f t="shared" si="3"/>
        <v>ORD0123</v>
      </c>
      <c r="B124" s="3">
        <v>46132</v>
      </c>
      <c r="C124" t="s">
        <v>103</v>
      </c>
      <c r="D124" t="s">
        <v>52</v>
      </c>
      <c r="E124" t="s">
        <v>16</v>
      </c>
      <c r="F124" t="s">
        <v>17</v>
      </c>
      <c r="G124">
        <v>1</v>
      </c>
      <c r="H124" s="10">
        <f>_xlfn.XLOOKUP(E124,Table18[Product],Table18[Unit_Price])</f>
        <v>120</v>
      </c>
      <c r="I124" s="10">
        <f>_xlfn.XLOOKUP(E124,Table18[Product],Table18[Cost_Price])</f>
        <v>60</v>
      </c>
      <c r="J124" s="10">
        <v>23</v>
      </c>
      <c r="K124" s="10">
        <f t="shared" si="4"/>
        <v>97</v>
      </c>
      <c r="L124" s="10">
        <f t="shared" si="5"/>
        <v>37</v>
      </c>
      <c r="M124" t="s">
        <v>64</v>
      </c>
      <c r="N124" t="s">
        <v>58</v>
      </c>
      <c r="O124" t="s">
        <v>51</v>
      </c>
      <c r="P124">
        <v>5</v>
      </c>
    </row>
    <row r="125" spans="1:16" x14ac:dyDescent="0.25">
      <c r="A125" t="str">
        <f t="shared" si="3"/>
        <v>ORD0124</v>
      </c>
      <c r="B125" s="3">
        <v>46143</v>
      </c>
      <c r="C125" t="s">
        <v>100</v>
      </c>
      <c r="D125" t="s">
        <v>60</v>
      </c>
      <c r="E125" t="s">
        <v>42</v>
      </c>
      <c r="F125" t="s">
        <v>40</v>
      </c>
      <c r="G125">
        <v>2</v>
      </c>
      <c r="H125" s="10">
        <f>_xlfn.XLOOKUP(E125,Table18[Product],Table18[Unit_Price])</f>
        <v>80</v>
      </c>
      <c r="I125" s="10">
        <f>_xlfn.XLOOKUP(E125,Table18[Product],Table18[Cost_Price])</f>
        <v>40</v>
      </c>
      <c r="J125" s="10">
        <v>30</v>
      </c>
      <c r="K125" s="10">
        <f t="shared" si="4"/>
        <v>130</v>
      </c>
      <c r="L125" s="10">
        <f t="shared" si="5"/>
        <v>50</v>
      </c>
      <c r="M125" t="s">
        <v>53</v>
      </c>
      <c r="N125" t="s">
        <v>54</v>
      </c>
      <c r="O125" t="s">
        <v>67</v>
      </c>
      <c r="P125">
        <v>4</v>
      </c>
    </row>
    <row r="126" spans="1:16" x14ac:dyDescent="0.25">
      <c r="A126" t="str">
        <f t="shared" si="3"/>
        <v>ORD0125</v>
      </c>
      <c r="B126" s="3">
        <v>46330</v>
      </c>
      <c r="C126" t="s">
        <v>98</v>
      </c>
      <c r="D126" t="s">
        <v>60</v>
      </c>
      <c r="E126" t="s">
        <v>34</v>
      </c>
      <c r="F126" t="s">
        <v>35</v>
      </c>
      <c r="G126">
        <v>2</v>
      </c>
      <c r="H126" s="10">
        <f>_xlfn.XLOOKUP(E126,Table18[Product],Table18[Unit_Price])</f>
        <v>180</v>
      </c>
      <c r="I126" s="10">
        <f>_xlfn.XLOOKUP(E126,Table18[Product],Table18[Cost_Price])</f>
        <v>90</v>
      </c>
      <c r="J126" s="10">
        <v>36</v>
      </c>
      <c r="K126" s="10">
        <f t="shared" si="4"/>
        <v>324</v>
      </c>
      <c r="L126" s="10">
        <f t="shared" si="5"/>
        <v>144</v>
      </c>
      <c r="M126" t="s">
        <v>57</v>
      </c>
      <c r="N126" t="s">
        <v>54</v>
      </c>
      <c r="O126" t="s">
        <v>67</v>
      </c>
      <c r="P126">
        <v>4</v>
      </c>
    </row>
    <row r="127" spans="1:16" x14ac:dyDescent="0.25">
      <c r="A127" t="str">
        <f t="shared" si="3"/>
        <v>ORD0126</v>
      </c>
      <c r="B127" s="3">
        <v>46069</v>
      </c>
      <c r="C127" t="s">
        <v>101</v>
      </c>
      <c r="D127" t="s">
        <v>60</v>
      </c>
      <c r="E127" t="s">
        <v>19</v>
      </c>
      <c r="F127" t="s">
        <v>17</v>
      </c>
      <c r="G127">
        <v>2</v>
      </c>
      <c r="H127" s="10">
        <f>_xlfn.XLOOKUP(E127,Table18[Product],Table18[Unit_Price])</f>
        <v>200</v>
      </c>
      <c r="I127" s="10">
        <f>_xlfn.XLOOKUP(E127,Table18[Product],Table18[Cost_Price])</f>
        <v>100</v>
      </c>
      <c r="J127" s="10">
        <v>49</v>
      </c>
      <c r="K127" s="10">
        <f t="shared" si="4"/>
        <v>351</v>
      </c>
      <c r="L127" s="10">
        <f t="shared" si="5"/>
        <v>151</v>
      </c>
      <c r="M127" t="s">
        <v>64</v>
      </c>
      <c r="N127" t="s">
        <v>54</v>
      </c>
      <c r="O127" t="s">
        <v>73</v>
      </c>
      <c r="P127">
        <v>5</v>
      </c>
    </row>
    <row r="128" spans="1:16" x14ac:dyDescent="0.25">
      <c r="A128" t="str">
        <f t="shared" si="3"/>
        <v>ORD0127</v>
      </c>
      <c r="B128" s="3">
        <v>46198</v>
      </c>
      <c r="C128" t="s">
        <v>86</v>
      </c>
      <c r="D128" t="s">
        <v>72</v>
      </c>
      <c r="E128" t="s">
        <v>30</v>
      </c>
      <c r="F128" t="s">
        <v>31</v>
      </c>
      <c r="G128">
        <v>2</v>
      </c>
      <c r="H128" s="10">
        <f>_xlfn.XLOOKUP(E128,Table18[Product],Table18[Unit_Price])</f>
        <v>110</v>
      </c>
      <c r="I128" s="10">
        <f>_xlfn.XLOOKUP(E128,Table18[Product],Table18[Cost_Price])</f>
        <v>55</v>
      </c>
      <c r="J128" s="10">
        <v>38</v>
      </c>
      <c r="K128" s="10">
        <f t="shared" si="4"/>
        <v>182</v>
      </c>
      <c r="L128" s="10">
        <f t="shared" si="5"/>
        <v>72</v>
      </c>
      <c r="M128" t="s">
        <v>57</v>
      </c>
      <c r="N128" t="s">
        <v>58</v>
      </c>
      <c r="O128" t="s">
        <v>75</v>
      </c>
      <c r="P128">
        <v>3</v>
      </c>
    </row>
    <row r="129" spans="1:16" x14ac:dyDescent="0.25">
      <c r="A129" t="str">
        <f t="shared" si="3"/>
        <v>ORD0128</v>
      </c>
      <c r="B129" s="3">
        <v>46037</v>
      </c>
      <c r="C129" t="s">
        <v>101</v>
      </c>
      <c r="D129" t="s">
        <v>66</v>
      </c>
      <c r="E129" t="s">
        <v>20</v>
      </c>
      <c r="F129" t="s">
        <v>17</v>
      </c>
      <c r="G129">
        <v>5</v>
      </c>
      <c r="H129" s="10">
        <f>_xlfn.XLOOKUP(E129,Table18[Product],Table18[Unit_Price])</f>
        <v>150</v>
      </c>
      <c r="I129" s="10">
        <f>_xlfn.XLOOKUP(E129,Table18[Product],Table18[Cost_Price])</f>
        <v>75</v>
      </c>
      <c r="J129" s="10">
        <v>45</v>
      </c>
      <c r="K129" s="10">
        <f t="shared" si="4"/>
        <v>705</v>
      </c>
      <c r="L129" s="10">
        <f t="shared" si="5"/>
        <v>330</v>
      </c>
      <c r="M129" t="s">
        <v>64</v>
      </c>
      <c r="N129" t="s">
        <v>50</v>
      </c>
      <c r="O129" t="s">
        <v>65</v>
      </c>
      <c r="P129">
        <v>5</v>
      </c>
    </row>
    <row r="130" spans="1:16" x14ac:dyDescent="0.25">
      <c r="A130" t="str">
        <f t="shared" si="3"/>
        <v>ORD0129</v>
      </c>
      <c r="B130" s="3">
        <v>46151</v>
      </c>
      <c r="C130" t="s">
        <v>87</v>
      </c>
      <c r="D130" t="s">
        <v>52</v>
      </c>
      <c r="E130" t="s">
        <v>34</v>
      </c>
      <c r="F130" t="s">
        <v>35</v>
      </c>
      <c r="G130">
        <v>3</v>
      </c>
      <c r="H130" s="10">
        <f>_xlfn.XLOOKUP(E130,Table18[Product],Table18[Unit_Price])</f>
        <v>180</v>
      </c>
      <c r="I130" s="10">
        <f>_xlfn.XLOOKUP(E130,Table18[Product],Table18[Cost_Price])</f>
        <v>90</v>
      </c>
      <c r="J130" s="10">
        <v>19</v>
      </c>
      <c r="K130" s="10">
        <f t="shared" si="4"/>
        <v>521</v>
      </c>
      <c r="L130" s="10">
        <f t="shared" si="5"/>
        <v>251</v>
      </c>
      <c r="M130" t="s">
        <v>64</v>
      </c>
      <c r="N130" t="s">
        <v>54</v>
      </c>
      <c r="O130" t="s">
        <v>62</v>
      </c>
      <c r="P130">
        <v>5</v>
      </c>
    </row>
    <row r="131" spans="1:16" x14ac:dyDescent="0.25">
      <c r="A131" t="str">
        <f t="shared" ref="A131:A194" si="6">"ORD"&amp;TEXT(ROW()-1,"0000")</f>
        <v>ORD0130</v>
      </c>
      <c r="B131" s="3">
        <v>46332</v>
      </c>
      <c r="C131" t="s">
        <v>96</v>
      </c>
      <c r="D131" t="s">
        <v>70</v>
      </c>
      <c r="E131" t="s">
        <v>36</v>
      </c>
      <c r="F131" t="s">
        <v>35</v>
      </c>
      <c r="G131">
        <v>5</v>
      </c>
      <c r="H131" s="10">
        <f>_xlfn.XLOOKUP(E131,Table18[Product],Table18[Unit_Price])</f>
        <v>220</v>
      </c>
      <c r="I131" s="10">
        <f>_xlfn.XLOOKUP(E131,Table18[Product],Table18[Cost_Price])</f>
        <v>110</v>
      </c>
      <c r="J131" s="10">
        <v>37</v>
      </c>
      <c r="K131" s="10">
        <f t="shared" ref="K131:K194" si="7">(G131*H131)-J131</f>
        <v>1063</v>
      </c>
      <c r="L131" s="10">
        <f t="shared" ref="L131:L194" si="8">K131-(G131*I131)</f>
        <v>513</v>
      </c>
      <c r="M131" t="s">
        <v>61</v>
      </c>
      <c r="N131" t="s">
        <v>50</v>
      </c>
      <c r="O131" t="s">
        <v>71</v>
      </c>
      <c r="P131">
        <v>5</v>
      </c>
    </row>
    <row r="132" spans="1:16" x14ac:dyDescent="0.25">
      <c r="A132" t="str">
        <f t="shared" si="6"/>
        <v>ORD0131</v>
      </c>
      <c r="B132" s="3">
        <v>46360</v>
      </c>
      <c r="C132" t="s">
        <v>81</v>
      </c>
      <c r="D132" t="s">
        <v>66</v>
      </c>
      <c r="E132" t="s">
        <v>19</v>
      </c>
      <c r="F132" t="s">
        <v>17</v>
      </c>
      <c r="G132">
        <v>5</v>
      </c>
      <c r="H132" s="10">
        <f>_xlfn.XLOOKUP(E132,Table18[Product],Table18[Unit_Price])</f>
        <v>200</v>
      </c>
      <c r="I132" s="10">
        <f>_xlfn.XLOOKUP(E132,Table18[Product],Table18[Cost_Price])</f>
        <v>100</v>
      </c>
      <c r="J132" s="10">
        <v>47</v>
      </c>
      <c r="K132" s="10">
        <f t="shared" si="7"/>
        <v>953</v>
      </c>
      <c r="L132" s="10">
        <f t="shared" si="8"/>
        <v>453</v>
      </c>
      <c r="M132" t="s">
        <v>57</v>
      </c>
      <c r="N132" t="s">
        <v>50</v>
      </c>
      <c r="O132" t="s">
        <v>65</v>
      </c>
      <c r="P132">
        <v>5</v>
      </c>
    </row>
    <row r="133" spans="1:16" x14ac:dyDescent="0.25">
      <c r="A133" t="str">
        <f t="shared" si="6"/>
        <v>ORD0132</v>
      </c>
      <c r="B133" s="3">
        <v>46216</v>
      </c>
      <c r="C133" t="s">
        <v>88</v>
      </c>
      <c r="D133" t="s">
        <v>52</v>
      </c>
      <c r="E133" t="s">
        <v>39</v>
      </c>
      <c r="F133" t="s">
        <v>40</v>
      </c>
      <c r="G133">
        <v>5</v>
      </c>
      <c r="H133" s="10">
        <f>_xlfn.XLOOKUP(E133,Table18[Product],Table18[Unit_Price])</f>
        <v>240</v>
      </c>
      <c r="I133" s="10">
        <f>_xlfn.XLOOKUP(E133,Table18[Product],Table18[Cost_Price])</f>
        <v>120</v>
      </c>
      <c r="J133" s="10">
        <v>29</v>
      </c>
      <c r="K133" s="10">
        <f t="shared" si="7"/>
        <v>1171</v>
      </c>
      <c r="L133" s="10">
        <f t="shared" si="8"/>
        <v>571</v>
      </c>
      <c r="M133" t="s">
        <v>49</v>
      </c>
      <c r="N133" t="s">
        <v>50</v>
      </c>
      <c r="O133" t="s">
        <v>62</v>
      </c>
      <c r="P133">
        <v>5</v>
      </c>
    </row>
    <row r="134" spans="1:16" x14ac:dyDescent="0.25">
      <c r="A134" t="str">
        <f t="shared" si="6"/>
        <v>ORD0133</v>
      </c>
      <c r="B134" s="3">
        <v>46378</v>
      </c>
      <c r="C134" t="s">
        <v>80</v>
      </c>
      <c r="D134" t="s">
        <v>72</v>
      </c>
      <c r="E134" t="s">
        <v>21</v>
      </c>
      <c r="F134" t="s">
        <v>17</v>
      </c>
      <c r="G134">
        <v>1</v>
      </c>
      <c r="H134" s="10">
        <f>_xlfn.XLOOKUP(E134,Table18[Product],Table18[Unit_Price])</f>
        <v>220</v>
      </c>
      <c r="I134" s="10">
        <f>_xlfn.XLOOKUP(E134,Table18[Product],Table18[Cost_Price])</f>
        <v>110</v>
      </c>
      <c r="J134" s="10">
        <v>26</v>
      </c>
      <c r="K134" s="10">
        <f t="shared" si="7"/>
        <v>194</v>
      </c>
      <c r="L134" s="10">
        <f t="shared" si="8"/>
        <v>84</v>
      </c>
      <c r="M134" t="s">
        <v>53</v>
      </c>
      <c r="N134" t="s">
        <v>50</v>
      </c>
      <c r="O134" t="s">
        <v>73</v>
      </c>
      <c r="P134">
        <v>3</v>
      </c>
    </row>
    <row r="135" spans="1:16" x14ac:dyDescent="0.25">
      <c r="A135" t="str">
        <f t="shared" si="6"/>
        <v>ORD0134</v>
      </c>
      <c r="B135" s="3">
        <v>46097</v>
      </c>
      <c r="C135" t="s">
        <v>98</v>
      </c>
      <c r="D135" t="s">
        <v>52</v>
      </c>
      <c r="E135" t="s">
        <v>20</v>
      </c>
      <c r="F135" t="s">
        <v>17</v>
      </c>
      <c r="G135">
        <v>5</v>
      </c>
      <c r="H135" s="10">
        <f>_xlfn.XLOOKUP(E135,Table18[Product],Table18[Unit_Price])</f>
        <v>150</v>
      </c>
      <c r="I135" s="10">
        <f>_xlfn.XLOOKUP(E135,Table18[Product],Table18[Cost_Price])</f>
        <v>75</v>
      </c>
      <c r="J135" s="10">
        <v>8</v>
      </c>
      <c r="K135" s="10">
        <f t="shared" si="7"/>
        <v>742</v>
      </c>
      <c r="L135" s="10">
        <f t="shared" si="8"/>
        <v>367</v>
      </c>
      <c r="M135" t="s">
        <v>49</v>
      </c>
      <c r="N135" t="s">
        <v>58</v>
      </c>
      <c r="O135" t="s">
        <v>75</v>
      </c>
      <c r="P135">
        <v>5</v>
      </c>
    </row>
    <row r="136" spans="1:16" x14ac:dyDescent="0.25">
      <c r="A136" t="str">
        <f t="shared" si="6"/>
        <v>ORD0135</v>
      </c>
      <c r="B136" s="3">
        <v>46081</v>
      </c>
      <c r="C136" t="s">
        <v>103</v>
      </c>
      <c r="D136" t="s">
        <v>68</v>
      </c>
      <c r="E136" t="s">
        <v>30</v>
      </c>
      <c r="F136" t="s">
        <v>31</v>
      </c>
      <c r="G136">
        <v>5</v>
      </c>
      <c r="H136" s="10">
        <f>_xlfn.XLOOKUP(E136,Table18[Product],Table18[Unit_Price])</f>
        <v>110</v>
      </c>
      <c r="I136" s="10">
        <f>_xlfn.XLOOKUP(E136,Table18[Product],Table18[Cost_Price])</f>
        <v>55</v>
      </c>
      <c r="J136" s="10">
        <v>9</v>
      </c>
      <c r="K136" s="10">
        <f t="shared" si="7"/>
        <v>541</v>
      </c>
      <c r="L136" s="10">
        <f t="shared" si="8"/>
        <v>266</v>
      </c>
      <c r="M136" t="s">
        <v>61</v>
      </c>
      <c r="N136" t="s">
        <v>58</v>
      </c>
      <c r="O136" t="s">
        <v>59</v>
      </c>
      <c r="P136">
        <v>5</v>
      </c>
    </row>
    <row r="137" spans="1:16" x14ac:dyDescent="0.25">
      <c r="A137" t="str">
        <f t="shared" si="6"/>
        <v>ORD0136</v>
      </c>
      <c r="B137" s="3">
        <v>46362</v>
      </c>
      <c r="C137" t="s">
        <v>76</v>
      </c>
      <c r="D137" t="s">
        <v>74</v>
      </c>
      <c r="E137" t="s">
        <v>24</v>
      </c>
      <c r="F137" t="s">
        <v>23</v>
      </c>
      <c r="G137">
        <v>4</v>
      </c>
      <c r="H137" s="10">
        <f>_xlfn.XLOOKUP(E137,Table18[Product],Table18[Unit_Price])</f>
        <v>210</v>
      </c>
      <c r="I137" s="10">
        <f>_xlfn.XLOOKUP(E137,Table18[Product],Table18[Cost_Price])</f>
        <v>105</v>
      </c>
      <c r="J137" s="10">
        <v>11</v>
      </c>
      <c r="K137" s="10">
        <f t="shared" si="7"/>
        <v>829</v>
      </c>
      <c r="L137" s="10">
        <f t="shared" si="8"/>
        <v>409</v>
      </c>
      <c r="M137" t="s">
        <v>53</v>
      </c>
      <c r="N137" t="s">
        <v>58</v>
      </c>
      <c r="O137" t="s">
        <v>73</v>
      </c>
      <c r="P137">
        <v>4</v>
      </c>
    </row>
    <row r="138" spans="1:16" x14ac:dyDescent="0.25">
      <c r="A138" t="str">
        <f t="shared" si="6"/>
        <v>ORD0137</v>
      </c>
      <c r="B138" s="3">
        <v>46050</v>
      </c>
      <c r="C138" t="s">
        <v>104</v>
      </c>
      <c r="D138" t="s">
        <v>52</v>
      </c>
      <c r="E138" t="s">
        <v>20</v>
      </c>
      <c r="F138" t="s">
        <v>17</v>
      </c>
      <c r="G138">
        <v>3</v>
      </c>
      <c r="H138" s="10">
        <f>_xlfn.XLOOKUP(E138,Table18[Product],Table18[Unit_Price])</f>
        <v>150</v>
      </c>
      <c r="I138" s="10">
        <f>_xlfn.XLOOKUP(E138,Table18[Product],Table18[Cost_Price])</f>
        <v>75</v>
      </c>
      <c r="J138" s="10">
        <v>35</v>
      </c>
      <c r="K138" s="10">
        <f t="shared" si="7"/>
        <v>415</v>
      </c>
      <c r="L138" s="10">
        <f t="shared" si="8"/>
        <v>190</v>
      </c>
      <c r="M138" t="s">
        <v>49</v>
      </c>
      <c r="N138" t="s">
        <v>58</v>
      </c>
      <c r="O138" t="s">
        <v>69</v>
      </c>
      <c r="P138">
        <v>5</v>
      </c>
    </row>
    <row r="139" spans="1:16" x14ac:dyDescent="0.25">
      <c r="A139" t="str">
        <f t="shared" si="6"/>
        <v>ORD0138</v>
      </c>
      <c r="B139" s="3">
        <v>46096</v>
      </c>
      <c r="C139" t="s">
        <v>86</v>
      </c>
      <c r="D139" t="s">
        <v>56</v>
      </c>
      <c r="E139" t="s">
        <v>27</v>
      </c>
      <c r="F139" t="s">
        <v>28</v>
      </c>
      <c r="G139">
        <v>4</v>
      </c>
      <c r="H139" s="10">
        <f>_xlfn.XLOOKUP(E139,Table18[Product],Table18[Unit_Price])</f>
        <v>140</v>
      </c>
      <c r="I139" s="10">
        <f>_xlfn.XLOOKUP(E139,Table18[Product],Table18[Cost_Price])</f>
        <v>70</v>
      </c>
      <c r="J139" s="10">
        <v>13</v>
      </c>
      <c r="K139" s="10">
        <f t="shared" si="7"/>
        <v>547</v>
      </c>
      <c r="L139" s="10">
        <f t="shared" si="8"/>
        <v>267</v>
      </c>
      <c r="M139" t="s">
        <v>61</v>
      </c>
      <c r="N139" t="s">
        <v>50</v>
      </c>
      <c r="O139" t="s">
        <v>55</v>
      </c>
      <c r="P139">
        <v>5</v>
      </c>
    </row>
    <row r="140" spans="1:16" x14ac:dyDescent="0.25">
      <c r="A140" t="str">
        <f t="shared" si="6"/>
        <v>ORD0139</v>
      </c>
      <c r="B140" s="3">
        <v>46280</v>
      </c>
      <c r="C140" t="s">
        <v>104</v>
      </c>
      <c r="D140" t="s">
        <v>70</v>
      </c>
      <c r="E140" t="s">
        <v>33</v>
      </c>
      <c r="F140" t="s">
        <v>31</v>
      </c>
      <c r="G140">
        <v>4</v>
      </c>
      <c r="H140" s="10">
        <f>_xlfn.XLOOKUP(E140,Table18[Product],Table18[Unit_Price])</f>
        <v>150</v>
      </c>
      <c r="I140" s="10">
        <f>_xlfn.XLOOKUP(E140,Table18[Product],Table18[Cost_Price])</f>
        <v>75</v>
      </c>
      <c r="J140" s="10">
        <v>27</v>
      </c>
      <c r="K140" s="10">
        <f t="shared" si="7"/>
        <v>573</v>
      </c>
      <c r="L140" s="10">
        <f t="shared" si="8"/>
        <v>273</v>
      </c>
      <c r="M140" t="s">
        <v>53</v>
      </c>
      <c r="N140" t="s">
        <v>50</v>
      </c>
      <c r="O140" t="s">
        <v>67</v>
      </c>
      <c r="P140">
        <v>3</v>
      </c>
    </row>
    <row r="141" spans="1:16" x14ac:dyDescent="0.25">
      <c r="A141" t="str">
        <f t="shared" si="6"/>
        <v>ORD0140</v>
      </c>
      <c r="B141" s="3">
        <v>46030</v>
      </c>
      <c r="C141" t="s">
        <v>80</v>
      </c>
      <c r="D141" t="s">
        <v>48</v>
      </c>
      <c r="E141" t="s">
        <v>30</v>
      </c>
      <c r="F141" t="s">
        <v>31</v>
      </c>
      <c r="G141">
        <v>3</v>
      </c>
      <c r="H141" s="10">
        <f>_xlfn.XLOOKUP(E141,Table18[Product],Table18[Unit_Price])</f>
        <v>110</v>
      </c>
      <c r="I141" s="10">
        <f>_xlfn.XLOOKUP(E141,Table18[Product],Table18[Cost_Price])</f>
        <v>55</v>
      </c>
      <c r="J141" s="10">
        <v>20</v>
      </c>
      <c r="K141" s="10">
        <f t="shared" si="7"/>
        <v>310</v>
      </c>
      <c r="L141" s="10">
        <f t="shared" si="8"/>
        <v>145</v>
      </c>
      <c r="M141" t="s">
        <v>64</v>
      </c>
      <c r="N141" t="s">
        <v>58</v>
      </c>
      <c r="O141" t="s">
        <v>51</v>
      </c>
      <c r="P141">
        <v>4</v>
      </c>
    </row>
    <row r="142" spans="1:16" x14ac:dyDescent="0.25">
      <c r="A142" t="str">
        <f t="shared" si="6"/>
        <v>ORD0141</v>
      </c>
      <c r="B142" s="3">
        <v>46363</v>
      </c>
      <c r="C142" t="s">
        <v>83</v>
      </c>
      <c r="D142" t="s">
        <v>66</v>
      </c>
      <c r="E142" t="s">
        <v>42</v>
      </c>
      <c r="F142" t="s">
        <v>40</v>
      </c>
      <c r="G142">
        <v>2</v>
      </c>
      <c r="H142" s="10">
        <f>_xlfn.XLOOKUP(E142,Table18[Product],Table18[Unit_Price])</f>
        <v>80</v>
      </c>
      <c r="I142" s="10">
        <f>_xlfn.XLOOKUP(E142,Table18[Product],Table18[Cost_Price])</f>
        <v>40</v>
      </c>
      <c r="J142" s="10">
        <v>27</v>
      </c>
      <c r="K142" s="10">
        <f t="shared" si="7"/>
        <v>133</v>
      </c>
      <c r="L142" s="10">
        <f t="shared" si="8"/>
        <v>53</v>
      </c>
      <c r="M142" t="s">
        <v>61</v>
      </c>
      <c r="N142" t="s">
        <v>58</v>
      </c>
      <c r="O142" t="s">
        <v>62</v>
      </c>
      <c r="P142">
        <v>5</v>
      </c>
    </row>
    <row r="143" spans="1:16" x14ac:dyDescent="0.25">
      <c r="A143" t="str">
        <f t="shared" si="6"/>
        <v>ORD0142</v>
      </c>
      <c r="B143" s="3">
        <v>46133</v>
      </c>
      <c r="C143" t="s">
        <v>101</v>
      </c>
      <c r="D143" t="s">
        <v>72</v>
      </c>
      <c r="E143" t="s">
        <v>22</v>
      </c>
      <c r="F143" t="s">
        <v>23</v>
      </c>
      <c r="G143">
        <v>4</v>
      </c>
      <c r="H143" s="10">
        <f>_xlfn.XLOOKUP(E143,Table18[Product],Table18[Unit_Price])</f>
        <v>190</v>
      </c>
      <c r="I143" s="10">
        <f>_xlfn.XLOOKUP(E143,Table18[Product],Table18[Cost_Price])</f>
        <v>95</v>
      </c>
      <c r="J143" s="10">
        <v>32</v>
      </c>
      <c r="K143" s="10">
        <f t="shared" si="7"/>
        <v>728</v>
      </c>
      <c r="L143" s="10">
        <f t="shared" si="8"/>
        <v>348</v>
      </c>
      <c r="M143" t="s">
        <v>53</v>
      </c>
      <c r="N143" t="s">
        <v>50</v>
      </c>
      <c r="O143" t="s">
        <v>65</v>
      </c>
      <c r="P143">
        <v>3</v>
      </c>
    </row>
    <row r="144" spans="1:16" x14ac:dyDescent="0.25">
      <c r="A144" t="str">
        <f t="shared" si="6"/>
        <v>ORD0143</v>
      </c>
      <c r="B144" s="3">
        <v>46119</v>
      </c>
      <c r="C144" t="s">
        <v>100</v>
      </c>
      <c r="D144" t="s">
        <v>63</v>
      </c>
      <c r="E144" t="s">
        <v>30</v>
      </c>
      <c r="F144" t="s">
        <v>31</v>
      </c>
      <c r="G144">
        <v>1</v>
      </c>
      <c r="H144" s="10">
        <f>_xlfn.XLOOKUP(E144,Table18[Product],Table18[Unit_Price])</f>
        <v>110</v>
      </c>
      <c r="I144" s="10">
        <f>_xlfn.XLOOKUP(E144,Table18[Product],Table18[Cost_Price])</f>
        <v>55</v>
      </c>
      <c r="J144" s="10">
        <v>6</v>
      </c>
      <c r="K144" s="10">
        <f t="shared" si="7"/>
        <v>104</v>
      </c>
      <c r="L144" s="10">
        <f t="shared" si="8"/>
        <v>49</v>
      </c>
      <c r="M144" t="s">
        <v>57</v>
      </c>
      <c r="N144" t="s">
        <v>54</v>
      </c>
      <c r="O144" t="s">
        <v>69</v>
      </c>
      <c r="P144">
        <v>5</v>
      </c>
    </row>
    <row r="145" spans="1:16" x14ac:dyDescent="0.25">
      <c r="A145" t="str">
        <f t="shared" si="6"/>
        <v>ORD0144</v>
      </c>
      <c r="B145" s="3">
        <v>46178</v>
      </c>
      <c r="C145" t="s">
        <v>85</v>
      </c>
      <c r="D145" t="s">
        <v>60</v>
      </c>
      <c r="E145" t="s">
        <v>34</v>
      </c>
      <c r="F145" t="s">
        <v>35</v>
      </c>
      <c r="G145">
        <v>4</v>
      </c>
      <c r="H145" s="10">
        <f>_xlfn.XLOOKUP(E145,Table18[Product],Table18[Unit_Price])</f>
        <v>180</v>
      </c>
      <c r="I145" s="10">
        <f>_xlfn.XLOOKUP(E145,Table18[Product],Table18[Cost_Price])</f>
        <v>90</v>
      </c>
      <c r="J145" s="10">
        <v>44</v>
      </c>
      <c r="K145" s="10">
        <f t="shared" si="7"/>
        <v>676</v>
      </c>
      <c r="L145" s="10">
        <f t="shared" si="8"/>
        <v>316</v>
      </c>
      <c r="M145" t="s">
        <v>49</v>
      </c>
      <c r="N145" t="s">
        <v>50</v>
      </c>
      <c r="O145" t="s">
        <v>51</v>
      </c>
      <c r="P145">
        <v>4</v>
      </c>
    </row>
    <row r="146" spans="1:16" x14ac:dyDescent="0.25">
      <c r="A146" t="str">
        <f t="shared" si="6"/>
        <v>ORD0145</v>
      </c>
      <c r="B146" s="3">
        <v>46382</v>
      </c>
      <c r="C146" t="s">
        <v>97</v>
      </c>
      <c r="D146" t="s">
        <v>68</v>
      </c>
      <c r="E146" t="s">
        <v>33</v>
      </c>
      <c r="F146" t="s">
        <v>31</v>
      </c>
      <c r="G146">
        <v>4</v>
      </c>
      <c r="H146" s="10">
        <f>_xlfn.XLOOKUP(E146,Table18[Product],Table18[Unit_Price])</f>
        <v>150</v>
      </c>
      <c r="I146" s="10">
        <f>_xlfn.XLOOKUP(E146,Table18[Product],Table18[Cost_Price])</f>
        <v>75</v>
      </c>
      <c r="J146" s="10">
        <v>28</v>
      </c>
      <c r="K146" s="10">
        <f t="shared" si="7"/>
        <v>572</v>
      </c>
      <c r="L146" s="10">
        <f t="shared" si="8"/>
        <v>272</v>
      </c>
      <c r="M146" t="s">
        <v>53</v>
      </c>
      <c r="N146" t="s">
        <v>50</v>
      </c>
      <c r="O146" t="s">
        <v>62</v>
      </c>
      <c r="P146">
        <v>5</v>
      </c>
    </row>
    <row r="147" spans="1:16" x14ac:dyDescent="0.25">
      <c r="A147" t="str">
        <f t="shared" si="6"/>
        <v>ORD0146</v>
      </c>
      <c r="B147" s="3">
        <v>46220</v>
      </c>
      <c r="C147" t="s">
        <v>89</v>
      </c>
      <c r="D147" t="s">
        <v>72</v>
      </c>
      <c r="E147" t="s">
        <v>42</v>
      </c>
      <c r="F147" t="s">
        <v>40</v>
      </c>
      <c r="G147">
        <v>4</v>
      </c>
      <c r="H147" s="10">
        <f>_xlfn.XLOOKUP(E147,Table18[Product],Table18[Unit_Price])</f>
        <v>80</v>
      </c>
      <c r="I147" s="10">
        <f>_xlfn.XLOOKUP(E147,Table18[Product],Table18[Cost_Price])</f>
        <v>40</v>
      </c>
      <c r="J147" s="10">
        <v>16</v>
      </c>
      <c r="K147" s="10">
        <f t="shared" si="7"/>
        <v>304</v>
      </c>
      <c r="L147" s="10">
        <f t="shared" si="8"/>
        <v>144</v>
      </c>
      <c r="M147" t="s">
        <v>53</v>
      </c>
      <c r="N147" t="s">
        <v>50</v>
      </c>
      <c r="O147" t="s">
        <v>71</v>
      </c>
      <c r="P147">
        <v>5</v>
      </c>
    </row>
    <row r="148" spans="1:16" x14ac:dyDescent="0.25">
      <c r="A148" t="str">
        <f t="shared" si="6"/>
        <v>ORD0147</v>
      </c>
      <c r="B148" s="3">
        <v>46330</v>
      </c>
      <c r="C148" t="s">
        <v>86</v>
      </c>
      <c r="D148" t="s">
        <v>48</v>
      </c>
      <c r="E148" t="s">
        <v>27</v>
      </c>
      <c r="F148" t="s">
        <v>28</v>
      </c>
      <c r="G148">
        <v>1</v>
      </c>
      <c r="H148" s="10">
        <f>_xlfn.XLOOKUP(E148,Table18[Product],Table18[Unit_Price])</f>
        <v>140</v>
      </c>
      <c r="I148" s="10">
        <f>_xlfn.XLOOKUP(E148,Table18[Product],Table18[Cost_Price])</f>
        <v>70</v>
      </c>
      <c r="J148" s="10">
        <v>3</v>
      </c>
      <c r="K148" s="10">
        <f t="shared" si="7"/>
        <v>137</v>
      </c>
      <c r="L148" s="10">
        <f t="shared" si="8"/>
        <v>67</v>
      </c>
      <c r="M148" t="s">
        <v>57</v>
      </c>
      <c r="N148" t="s">
        <v>54</v>
      </c>
      <c r="O148" t="s">
        <v>51</v>
      </c>
      <c r="P148">
        <v>5</v>
      </c>
    </row>
    <row r="149" spans="1:16" x14ac:dyDescent="0.25">
      <c r="A149" t="str">
        <f t="shared" si="6"/>
        <v>ORD0148</v>
      </c>
      <c r="B149" s="3">
        <v>46236</v>
      </c>
      <c r="C149" t="s">
        <v>102</v>
      </c>
      <c r="D149" t="s">
        <v>63</v>
      </c>
      <c r="E149" t="s">
        <v>19</v>
      </c>
      <c r="F149" t="s">
        <v>17</v>
      </c>
      <c r="G149">
        <v>2</v>
      </c>
      <c r="H149" s="10">
        <f>_xlfn.XLOOKUP(E149,Table18[Product],Table18[Unit_Price])</f>
        <v>200</v>
      </c>
      <c r="I149" s="10">
        <f>_xlfn.XLOOKUP(E149,Table18[Product],Table18[Cost_Price])</f>
        <v>100</v>
      </c>
      <c r="J149" s="10">
        <v>9</v>
      </c>
      <c r="K149" s="10">
        <f t="shared" si="7"/>
        <v>391</v>
      </c>
      <c r="L149" s="10">
        <f t="shared" si="8"/>
        <v>191</v>
      </c>
      <c r="M149" t="s">
        <v>53</v>
      </c>
      <c r="N149" t="s">
        <v>58</v>
      </c>
      <c r="O149" t="s">
        <v>62</v>
      </c>
      <c r="P149">
        <v>3</v>
      </c>
    </row>
    <row r="150" spans="1:16" x14ac:dyDescent="0.25">
      <c r="A150" t="str">
        <f t="shared" si="6"/>
        <v>ORD0149</v>
      </c>
      <c r="B150" s="3">
        <v>46153</v>
      </c>
      <c r="C150" t="s">
        <v>82</v>
      </c>
      <c r="D150" t="s">
        <v>48</v>
      </c>
      <c r="E150" t="s">
        <v>34</v>
      </c>
      <c r="F150" t="s">
        <v>35</v>
      </c>
      <c r="G150">
        <v>5</v>
      </c>
      <c r="H150" s="10">
        <f>_xlfn.XLOOKUP(E150,Table18[Product],Table18[Unit_Price])</f>
        <v>180</v>
      </c>
      <c r="I150" s="10">
        <f>_xlfn.XLOOKUP(E150,Table18[Product],Table18[Cost_Price])</f>
        <v>90</v>
      </c>
      <c r="J150" s="10">
        <v>36</v>
      </c>
      <c r="K150" s="10">
        <f t="shared" si="7"/>
        <v>864</v>
      </c>
      <c r="L150" s="10">
        <f t="shared" si="8"/>
        <v>414</v>
      </c>
      <c r="M150" t="s">
        <v>61</v>
      </c>
      <c r="N150" t="s">
        <v>58</v>
      </c>
      <c r="O150" t="s">
        <v>73</v>
      </c>
      <c r="P150">
        <v>5</v>
      </c>
    </row>
    <row r="151" spans="1:16" x14ac:dyDescent="0.25">
      <c r="A151" t="str">
        <f t="shared" si="6"/>
        <v>ORD0150</v>
      </c>
      <c r="B151" s="3">
        <v>46374</v>
      </c>
      <c r="C151" t="s">
        <v>77</v>
      </c>
      <c r="D151" t="s">
        <v>52</v>
      </c>
      <c r="E151" t="s">
        <v>41</v>
      </c>
      <c r="F151" t="s">
        <v>40</v>
      </c>
      <c r="G151">
        <v>4</v>
      </c>
      <c r="H151" s="10">
        <f>_xlfn.XLOOKUP(E151,Table18[Product],Table18[Unit_Price])</f>
        <v>100</v>
      </c>
      <c r="I151" s="10">
        <f>_xlfn.XLOOKUP(E151,Table18[Product],Table18[Cost_Price])</f>
        <v>50</v>
      </c>
      <c r="J151" s="10">
        <v>34</v>
      </c>
      <c r="K151" s="10">
        <f t="shared" si="7"/>
        <v>366</v>
      </c>
      <c r="L151" s="10">
        <f t="shared" si="8"/>
        <v>166</v>
      </c>
      <c r="M151" t="s">
        <v>53</v>
      </c>
      <c r="N151" t="s">
        <v>50</v>
      </c>
      <c r="O151" t="s">
        <v>51</v>
      </c>
      <c r="P151">
        <v>4</v>
      </c>
    </row>
    <row r="152" spans="1:16" x14ac:dyDescent="0.25">
      <c r="A152" t="str">
        <f t="shared" si="6"/>
        <v>ORD0151</v>
      </c>
      <c r="B152" s="3">
        <v>46298</v>
      </c>
      <c r="C152" t="s">
        <v>97</v>
      </c>
      <c r="D152" t="s">
        <v>60</v>
      </c>
      <c r="E152" t="s">
        <v>32</v>
      </c>
      <c r="F152" t="s">
        <v>31</v>
      </c>
      <c r="G152">
        <v>4</v>
      </c>
      <c r="H152" s="10">
        <f>_xlfn.XLOOKUP(E152,Table18[Product],Table18[Unit_Price])</f>
        <v>130</v>
      </c>
      <c r="I152" s="10">
        <f>_xlfn.XLOOKUP(E152,Table18[Product],Table18[Cost_Price])</f>
        <v>65</v>
      </c>
      <c r="J152" s="10">
        <v>50</v>
      </c>
      <c r="K152" s="10">
        <f t="shared" si="7"/>
        <v>470</v>
      </c>
      <c r="L152" s="10">
        <f t="shared" si="8"/>
        <v>210</v>
      </c>
      <c r="M152" t="s">
        <v>64</v>
      </c>
      <c r="N152" t="s">
        <v>54</v>
      </c>
      <c r="O152" t="s">
        <v>75</v>
      </c>
      <c r="P152">
        <v>4</v>
      </c>
    </row>
    <row r="153" spans="1:16" x14ac:dyDescent="0.25">
      <c r="A153" t="str">
        <f t="shared" si="6"/>
        <v>ORD0152</v>
      </c>
      <c r="B153" s="3">
        <v>46181</v>
      </c>
      <c r="C153" t="s">
        <v>89</v>
      </c>
      <c r="D153" t="s">
        <v>74</v>
      </c>
      <c r="E153" t="s">
        <v>36</v>
      </c>
      <c r="F153" t="s">
        <v>35</v>
      </c>
      <c r="G153">
        <v>2</v>
      </c>
      <c r="H153" s="10">
        <f>_xlfn.XLOOKUP(E153,Table18[Product],Table18[Unit_Price])</f>
        <v>220</v>
      </c>
      <c r="I153" s="10">
        <f>_xlfn.XLOOKUP(E153,Table18[Product],Table18[Cost_Price])</f>
        <v>110</v>
      </c>
      <c r="J153" s="10">
        <v>24</v>
      </c>
      <c r="K153" s="10">
        <f t="shared" si="7"/>
        <v>416</v>
      </c>
      <c r="L153" s="10">
        <f t="shared" si="8"/>
        <v>196</v>
      </c>
      <c r="M153" t="s">
        <v>53</v>
      </c>
      <c r="N153" t="s">
        <v>58</v>
      </c>
      <c r="O153" t="s">
        <v>59</v>
      </c>
      <c r="P153">
        <v>4</v>
      </c>
    </row>
    <row r="154" spans="1:16" x14ac:dyDescent="0.25">
      <c r="A154" t="str">
        <f t="shared" si="6"/>
        <v>ORD0153</v>
      </c>
      <c r="B154" s="3">
        <v>46362</v>
      </c>
      <c r="C154" t="s">
        <v>104</v>
      </c>
      <c r="D154" t="s">
        <v>68</v>
      </c>
      <c r="E154" t="s">
        <v>34</v>
      </c>
      <c r="F154" t="s">
        <v>35</v>
      </c>
      <c r="G154">
        <v>3</v>
      </c>
      <c r="H154" s="10">
        <f>_xlfn.XLOOKUP(E154,Table18[Product],Table18[Unit_Price])</f>
        <v>180</v>
      </c>
      <c r="I154" s="10">
        <f>_xlfn.XLOOKUP(E154,Table18[Product],Table18[Cost_Price])</f>
        <v>90</v>
      </c>
      <c r="J154" s="10">
        <v>32</v>
      </c>
      <c r="K154" s="10">
        <f t="shared" si="7"/>
        <v>508</v>
      </c>
      <c r="L154" s="10">
        <f t="shared" si="8"/>
        <v>238</v>
      </c>
      <c r="M154" t="s">
        <v>49</v>
      </c>
      <c r="N154" t="s">
        <v>50</v>
      </c>
      <c r="O154" t="s">
        <v>55</v>
      </c>
      <c r="P154">
        <v>4</v>
      </c>
    </row>
    <row r="155" spans="1:16" x14ac:dyDescent="0.25">
      <c r="A155" t="str">
        <f t="shared" si="6"/>
        <v>ORD0154</v>
      </c>
      <c r="B155" s="3">
        <v>46063</v>
      </c>
      <c r="C155" t="s">
        <v>82</v>
      </c>
      <c r="D155" t="s">
        <v>72</v>
      </c>
      <c r="E155" t="s">
        <v>25</v>
      </c>
      <c r="F155" t="s">
        <v>26</v>
      </c>
      <c r="G155">
        <v>4</v>
      </c>
      <c r="H155" s="10">
        <f>_xlfn.XLOOKUP(E155,Table18[Product],Table18[Unit_Price])</f>
        <v>170</v>
      </c>
      <c r="I155" s="10">
        <f>_xlfn.XLOOKUP(E155,Table18[Product],Table18[Cost_Price])</f>
        <v>85</v>
      </c>
      <c r="J155" s="10">
        <v>42</v>
      </c>
      <c r="K155" s="10">
        <f t="shared" si="7"/>
        <v>638</v>
      </c>
      <c r="L155" s="10">
        <f t="shared" si="8"/>
        <v>298</v>
      </c>
      <c r="M155" t="s">
        <v>53</v>
      </c>
      <c r="N155" t="s">
        <v>54</v>
      </c>
      <c r="O155" t="s">
        <v>62</v>
      </c>
      <c r="P155">
        <v>3</v>
      </c>
    </row>
    <row r="156" spans="1:16" x14ac:dyDescent="0.25">
      <c r="A156" t="str">
        <f t="shared" si="6"/>
        <v>ORD0155</v>
      </c>
      <c r="B156" s="3">
        <v>46096</v>
      </c>
      <c r="C156" t="s">
        <v>76</v>
      </c>
      <c r="D156" t="s">
        <v>56</v>
      </c>
      <c r="E156" t="s">
        <v>22</v>
      </c>
      <c r="F156" t="s">
        <v>23</v>
      </c>
      <c r="G156">
        <v>5</v>
      </c>
      <c r="H156" s="10">
        <f>_xlfn.XLOOKUP(E156,Table18[Product],Table18[Unit_Price])</f>
        <v>190</v>
      </c>
      <c r="I156" s="10">
        <f>_xlfn.XLOOKUP(E156,Table18[Product],Table18[Cost_Price])</f>
        <v>95</v>
      </c>
      <c r="J156" s="10">
        <v>33</v>
      </c>
      <c r="K156" s="10">
        <f t="shared" si="7"/>
        <v>917</v>
      </c>
      <c r="L156" s="10">
        <f t="shared" si="8"/>
        <v>442</v>
      </c>
      <c r="M156" t="s">
        <v>61</v>
      </c>
      <c r="N156" t="s">
        <v>50</v>
      </c>
      <c r="O156" t="s">
        <v>73</v>
      </c>
      <c r="P156">
        <v>3</v>
      </c>
    </row>
    <row r="157" spans="1:16" x14ac:dyDescent="0.25">
      <c r="A157" t="str">
        <f t="shared" si="6"/>
        <v>ORD0156</v>
      </c>
      <c r="B157" s="3">
        <v>46205</v>
      </c>
      <c r="C157" t="s">
        <v>79</v>
      </c>
      <c r="D157" t="s">
        <v>48</v>
      </c>
      <c r="E157" t="s">
        <v>21</v>
      </c>
      <c r="F157" t="s">
        <v>17</v>
      </c>
      <c r="G157">
        <v>2</v>
      </c>
      <c r="H157" s="10">
        <f>_xlfn.XLOOKUP(E157,Table18[Product],Table18[Unit_Price])</f>
        <v>220</v>
      </c>
      <c r="I157" s="10">
        <f>_xlfn.XLOOKUP(E157,Table18[Product],Table18[Cost_Price])</f>
        <v>110</v>
      </c>
      <c r="J157" s="10">
        <v>22</v>
      </c>
      <c r="K157" s="10">
        <f t="shared" si="7"/>
        <v>418</v>
      </c>
      <c r="L157" s="10">
        <f t="shared" si="8"/>
        <v>198</v>
      </c>
      <c r="M157" t="s">
        <v>49</v>
      </c>
      <c r="N157" t="s">
        <v>54</v>
      </c>
      <c r="O157" t="s">
        <v>69</v>
      </c>
      <c r="P157">
        <v>3</v>
      </c>
    </row>
    <row r="158" spans="1:16" x14ac:dyDescent="0.25">
      <c r="A158" t="str">
        <f t="shared" si="6"/>
        <v>ORD0157</v>
      </c>
      <c r="B158" s="3">
        <v>46182</v>
      </c>
      <c r="C158" t="s">
        <v>98</v>
      </c>
      <c r="D158" t="s">
        <v>72</v>
      </c>
      <c r="E158" t="s">
        <v>39</v>
      </c>
      <c r="F158" t="s">
        <v>40</v>
      </c>
      <c r="G158">
        <v>4</v>
      </c>
      <c r="H158" s="10">
        <f>_xlfn.XLOOKUP(E158,Table18[Product],Table18[Unit_Price])</f>
        <v>240</v>
      </c>
      <c r="I158" s="10">
        <f>_xlfn.XLOOKUP(E158,Table18[Product],Table18[Cost_Price])</f>
        <v>120</v>
      </c>
      <c r="J158" s="10">
        <v>44</v>
      </c>
      <c r="K158" s="10">
        <f t="shared" si="7"/>
        <v>916</v>
      </c>
      <c r="L158" s="10">
        <f t="shared" si="8"/>
        <v>436</v>
      </c>
      <c r="M158" t="s">
        <v>57</v>
      </c>
      <c r="N158" t="s">
        <v>50</v>
      </c>
      <c r="O158" t="s">
        <v>69</v>
      </c>
      <c r="P158">
        <v>3</v>
      </c>
    </row>
    <row r="159" spans="1:16" x14ac:dyDescent="0.25">
      <c r="A159" t="str">
        <f t="shared" si="6"/>
        <v>ORD0158</v>
      </c>
      <c r="B159" s="3">
        <v>46047</v>
      </c>
      <c r="C159" t="s">
        <v>76</v>
      </c>
      <c r="D159" t="s">
        <v>66</v>
      </c>
      <c r="E159" t="s">
        <v>20</v>
      </c>
      <c r="F159" t="s">
        <v>17</v>
      </c>
      <c r="G159">
        <v>4</v>
      </c>
      <c r="H159" s="10">
        <f>_xlfn.XLOOKUP(E159,Table18[Product],Table18[Unit_Price])</f>
        <v>150</v>
      </c>
      <c r="I159" s="10">
        <f>_xlfn.XLOOKUP(E159,Table18[Product],Table18[Cost_Price])</f>
        <v>75</v>
      </c>
      <c r="J159" s="10">
        <v>49</v>
      </c>
      <c r="K159" s="10">
        <f t="shared" si="7"/>
        <v>551</v>
      </c>
      <c r="L159" s="10">
        <f t="shared" si="8"/>
        <v>251</v>
      </c>
      <c r="M159" t="s">
        <v>61</v>
      </c>
      <c r="N159" t="s">
        <v>54</v>
      </c>
      <c r="O159" t="s">
        <v>59</v>
      </c>
      <c r="P159">
        <v>5</v>
      </c>
    </row>
    <row r="160" spans="1:16" x14ac:dyDescent="0.25">
      <c r="A160" t="str">
        <f t="shared" si="6"/>
        <v>ORD0159</v>
      </c>
      <c r="B160" s="3">
        <v>46297</v>
      </c>
      <c r="C160" t="s">
        <v>79</v>
      </c>
      <c r="D160" t="s">
        <v>56</v>
      </c>
      <c r="E160" t="s">
        <v>37</v>
      </c>
      <c r="F160" t="s">
        <v>35</v>
      </c>
      <c r="G160">
        <v>2</v>
      </c>
      <c r="H160" s="10">
        <f>_xlfn.XLOOKUP(E160,Table18[Product],Table18[Unit_Price])</f>
        <v>160</v>
      </c>
      <c r="I160" s="10">
        <f>_xlfn.XLOOKUP(E160,Table18[Product],Table18[Cost_Price])</f>
        <v>80</v>
      </c>
      <c r="J160" s="10">
        <v>21</v>
      </c>
      <c r="K160" s="10">
        <f t="shared" si="7"/>
        <v>299</v>
      </c>
      <c r="L160" s="10">
        <f t="shared" si="8"/>
        <v>139</v>
      </c>
      <c r="M160" t="s">
        <v>53</v>
      </c>
      <c r="N160" t="s">
        <v>54</v>
      </c>
      <c r="O160" t="s">
        <v>75</v>
      </c>
      <c r="P160">
        <v>4</v>
      </c>
    </row>
    <row r="161" spans="1:16" x14ac:dyDescent="0.25">
      <c r="A161" t="str">
        <f t="shared" si="6"/>
        <v>ORD0160</v>
      </c>
      <c r="B161" s="3">
        <v>46081</v>
      </c>
      <c r="C161" t="s">
        <v>104</v>
      </c>
      <c r="D161" t="s">
        <v>70</v>
      </c>
      <c r="E161" t="s">
        <v>36</v>
      </c>
      <c r="F161" t="s">
        <v>35</v>
      </c>
      <c r="G161">
        <v>5</v>
      </c>
      <c r="H161" s="10">
        <f>_xlfn.XLOOKUP(E161,Table18[Product],Table18[Unit_Price])</f>
        <v>220</v>
      </c>
      <c r="I161" s="10">
        <f>_xlfn.XLOOKUP(E161,Table18[Product],Table18[Cost_Price])</f>
        <v>110</v>
      </c>
      <c r="J161" s="10">
        <v>13</v>
      </c>
      <c r="K161" s="10">
        <f t="shared" si="7"/>
        <v>1087</v>
      </c>
      <c r="L161" s="10">
        <f t="shared" si="8"/>
        <v>537</v>
      </c>
      <c r="M161" t="s">
        <v>64</v>
      </c>
      <c r="N161" t="s">
        <v>54</v>
      </c>
      <c r="O161" t="s">
        <v>73</v>
      </c>
      <c r="P161">
        <v>3</v>
      </c>
    </row>
    <row r="162" spans="1:16" x14ac:dyDescent="0.25">
      <c r="A162" t="str">
        <f t="shared" si="6"/>
        <v>ORD0161</v>
      </c>
      <c r="B162" s="3">
        <v>46226</v>
      </c>
      <c r="C162" t="s">
        <v>104</v>
      </c>
      <c r="D162" t="s">
        <v>68</v>
      </c>
      <c r="E162" t="s">
        <v>29</v>
      </c>
      <c r="F162" t="s">
        <v>28</v>
      </c>
      <c r="G162">
        <v>4</v>
      </c>
      <c r="H162" s="10">
        <f>_xlfn.XLOOKUP(E162,Table18[Product],Table18[Unit_Price])</f>
        <v>120</v>
      </c>
      <c r="I162" s="10">
        <f>_xlfn.XLOOKUP(E162,Table18[Product],Table18[Cost_Price])</f>
        <v>60</v>
      </c>
      <c r="J162" s="10">
        <v>0</v>
      </c>
      <c r="K162" s="10">
        <f t="shared" si="7"/>
        <v>480</v>
      </c>
      <c r="L162" s="10">
        <f t="shared" si="8"/>
        <v>240</v>
      </c>
      <c r="M162" t="s">
        <v>64</v>
      </c>
      <c r="N162" t="s">
        <v>58</v>
      </c>
      <c r="O162" t="s">
        <v>51</v>
      </c>
      <c r="P162">
        <v>3</v>
      </c>
    </row>
    <row r="163" spans="1:16" x14ac:dyDescent="0.25">
      <c r="A163" t="str">
        <f t="shared" si="6"/>
        <v>ORD0162</v>
      </c>
      <c r="B163" s="3">
        <v>46175</v>
      </c>
      <c r="C163" t="s">
        <v>85</v>
      </c>
      <c r="D163" t="s">
        <v>48</v>
      </c>
      <c r="E163" t="s">
        <v>38</v>
      </c>
      <c r="F163" t="s">
        <v>35</v>
      </c>
      <c r="G163">
        <v>1</v>
      </c>
      <c r="H163" s="10">
        <f>_xlfn.XLOOKUP(E163,Table18[Product],Table18[Unit_Price])</f>
        <v>170</v>
      </c>
      <c r="I163" s="10">
        <f>_xlfn.XLOOKUP(E163,Table18[Product],Table18[Cost_Price])</f>
        <v>85</v>
      </c>
      <c r="J163" s="10">
        <v>1</v>
      </c>
      <c r="K163" s="10">
        <f t="shared" si="7"/>
        <v>169</v>
      </c>
      <c r="L163" s="10">
        <f t="shared" si="8"/>
        <v>84</v>
      </c>
      <c r="M163" t="s">
        <v>64</v>
      </c>
      <c r="N163" t="s">
        <v>50</v>
      </c>
      <c r="O163" t="s">
        <v>71</v>
      </c>
      <c r="P163">
        <v>4</v>
      </c>
    </row>
    <row r="164" spans="1:16" x14ac:dyDescent="0.25">
      <c r="A164" t="str">
        <f t="shared" si="6"/>
        <v>ORD0163</v>
      </c>
      <c r="B164" s="3">
        <v>46044</v>
      </c>
      <c r="C164" t="s">
        <v>105</v>
      </c>
      <c r="D164" t="s">
        <v>74</v>
      </c>
      <c r="E164" t="s">
        <v>21</v>
      </c>
      <c r="F164" t="s">
        <v>17</v>
      </c>
      <c r="G164">
        <v>3</v>
      </c>
      <c r="H164" s="10">
        <f>_xlfn.XLOOKUP(E164,Table18[Product],Table18[Unit_Price])</f>
        <v>220</v>
      </c>
      <c r="I164" s="10">
        <f>_xlfn.XLOOKUP(E164,Table18[Product],Table18[Cost_Price])</f>
        <v>110</v>
      </c>
      <c r="J164" s="10">
        <v>38</v>
      </c>
      <c r="K164" s="10">
        <f t="shared" si="7"/>
        <v>622</v>
      </c>
      <c r="L164" s="10">
        <f t="shared" si="8"/>
        <v>292</v>
      </c>
      <c r="M164" t="s">
        <v>61</v>
      </c>
      <c r="N164" t="s">
        <v>54</v>
      </c>
      <c r="O164" t="s">
        <v>65</v>
      </c>
      <c r="P164">
        <v>5</v>
      </c>
    </row>
    <row r="165" spans="1:16" x14ac:dyDescent="0.25">
      <c r="A165" t="str">
        <f t="shared" si="6"/>
        <v>ORD0164</v>
      </c>
      <c r="B165" s="3">
        <v>46201</v>
      </c>
      <c r="C165" t="s">
        <v>91</v>
      </c>
      <c r="D165" t="s">
        <v>56</v>
      </c>
      <c r="E165" t="s">
        <v>32</v>
      </c>
      <c r="F165" t="s">
        <v>31</v>
      </c>
      <c r="G165">
        <v>5</v>
      </c>
      <c r="H165" s="10">
        <f>_xlfn.XLOOKUP(E165,Table18[Product],Table18[Unit_Price])</f>
        <v>130</v>
      </c>
      <c r="I165" s="10">
        <f>_xlfn.XLOOKUP(E165,Table18[Product],Table18[Cost_Price])</f>
        <v>65</v>
      </c>
      <c r="J165" s="10">
        <v>50</v>
      </c>
      <c r="K165" s="10">
        <f t="shared" si="7"/>
        <v>600</v>
      </c>
      <c r="L165" s="10">
        <f t="shared" si="8"/>
        <v>275</v>
      </c>
      <c r="M165" t="s">
        <v>57</v>
      </c>
      <c r="N165" t="s">
        <v>58</v>
      </c>
      <c r="O165" t="s">
        <v>59</v>
      </c>
      <c r="P165">
        <v>4</v>
      </c>
    </row>
    <row r="166" spans="1:16" x14ac:dyDescent="0.25">
      <c r="A166" t="str">
        <f t="shared" si="6"/>
        <v>ORD0165</v>
      </c>
      <c r="B166" s="3">
        <v>46104</v>
      </c>
      <c r="C166" t="s">
        <v>85</v>
      </c>
      <c r="D166" t="s">
        <v>66</v>
      </c>
      <c r="E166" t="s">
        <v>21</v>
      </c>
      <c r="F166" t="s">
        <v>17</v>
      </c>
      <c r="G166">
        <v>4</v>
      </c>
      <c r="H166" s="10">
        <f>_xlfn.XLOOKUP(E166,Table18[Product],Table18[Unit_Price])</f>
        <v>220</v>
      </c>
      <c r="I166" s="10">
        <f>_xlfn.XLOOKUP(E166,Table18[Product],Table18[Cost_Price])</f>
        <v>110</v>
      </c>
      <c r="J166" s="10">
        <v>19</v>
      </c>
      <c r="K166" s="10">
        <f t="shared" si="7"/>
        <v>861</v>
      </c>
      <c r="L166" s="10">
        <f t="shared" si="8"/>
        <v>421</v>
      </c>
      <c r="M166" t="s">
        <v>53</v>
      </c>
      <c r="N166" t="s">
        <v>50</v>
      </c>
      <c r="O166" t="s">
        <v>71</v>
      </c>
      <c r="P166">
        <v>3</v>
      </c>
    </row>
    <row r="167" spans="1:16" x14ac:dyDescent="0.25">
      <c r="A167" t="str">
        <f t="shared" si="6"/>
        <v>ORD0166</v>
      </c>
      <c r="B167" s="3">
        <v>46078</v>
      </c>
      <c r="C167" t="s">
        <v>102</v>
      </c>
      <c r="D167" t="s">
        <v>66</v>
      </c>
      <c r="E167" t="s">
        <v>36</v>
      </c>
      <c r="F167" t="s">
        <v>35</v>
      </c>
      <c r="G167">
        <v>4</v>
      </c>
      <c r="H167" s="10">
        <f>_xlfn.XLOOKUP(E167,Table18[Product],Table18[Unit_Price])</f>
        <v>220</v>
      </c>
      <c r="I167" s="10">
        <f>_xlfn.XLOOKUP(E167,Table18[Product],Table18[Cost_Price])</f>
        <v>110</v>
      </c>
      <c r="J167" s="10">
        <v>29</v>
      </c>
      <c r="K167" s="10">
        <f t="shared" si="7"/>
        <v>851</v>
      </c>
      <c r="L167" s="10">
        <f t="shared" si="8"/>
        <v>411</v>
      </c>
      <c r="M167" t="s">
        <v>49</v>
      </c>
      <c r="N167" t="s">
        <v>58</v>
      </c>
      <c r="O167" t="s">
        <v>65</v>
      </c>
      <c r="P167">
        <v>4</v>
      </c>
    </row>
    <row r="168" spans="1:16" x14ac:dyDescent="0.25">
      <c r="A168" t="str">
        <f t="shared" si="6"/>
        <v>ORD0167</v>
      </c>
      <c r="B168" s="3">
        <v>46370</v>
      </c>
      <c r="C168" t="s">
        <v>99</v>
      </c>
      <c r="D168" t="s">
        <v>70</v>
      </c>
      <c r="E168" t="s">
        <v>32</v>
      </c>
      <c r="F168" t="s">
        <v>31</v>
      </c>
      <c r="G168">
        <v>4</v>
      </c>
      <c r="H168" s="10">
        <f>_xlfn.XLOOKUP(E168,Table18[Product],Table18[Unit_Price])</f>
        <v>130</v>
      </c>
      <c r="I168" s="10">
        <f>_xlfn.XLOOKUP(E168,Table18[Product],Table18[Cost_Price])</f>
        <v>65</v>
      </c>
      <c r="J168" s="10">
        <v>9</v>
      </c>
      <c r="K168" s="10">
        <f t="shared" si="7"/>
        <v>511</v>
      </c>
      <c r="L168" s="10">
        <f t="shared" si="8"/>
        <v>251</v>
      </c>
      <c r="M168" t="s">
        <v>61</v>
      </c>
      <c r="N168" t="s">
        <v>50</v>
      </c>
      <c r="O168" t="s">
        <v>59</v>
      </c>
      <c r="P168">
        <v>5</v>
      </c>
    </row>
    <row r="169" spans="1:16" x14ac:dyDescent="0.25">
      <c r="A169" t="str">
        <f t="shared" si="6"/>
        <v>ORD0168</v>
      </c>
      <c r="B169" s="3">
        <v>46384</v>
      </c>
      <c r="C169" t="s">
        <v>82</v>
      </c>
      <c r="D169" t="s">
        <v>52</v>
      </c>
      <c r="E169" t="s">
        <v>37</v>
      </c>
      <c r="F169" t="s">
        <v>35</v>
      </c>
      <c r="G169">
        <v>5</v>
      </c>
      <c r="H169" s="10">
        <f>_xlfn.XLOOKUP(E169,Table18[Product],Table18[Unit_Price])</f>
        <v>160</v>
      </c>
      <c r="I169" s="10">
        <f>_xlfn.XLOOKUP(E169,Table18[Product],Table18[Cost_Price])</f>
        <v>80</v>
      </c>
      <c r="J169" s="10">
        <v>10</v>
      </c>
      <c r="K169" s="10">
        <f t="shared" si="7"/>
        <v>790</v>
      </c>
      <c r="L169" s="10">
        <f t="shared" si="8"/>
        <v>390</v>
      </c>
      <c r="M169" t="s">
        <v>53</v>
      </c>
      <c r="N169" t="s">
        <v>58</v>
      </c>
      <c r="O169" t="s">
        <v>59</v>
      </c>
      <c r="P169">
        <v>5</v>
      </c>
    </row>
    <row r="170" spans="1:16" x14ac:dyDescent="0.25">
      <c r="A170" t="str">
        <f t="shared" si="6"/>
        <v>ORD0169</v>
      </c>
      <c r="B170" s="3">
        <v>46103</v>
      </c>
      <c r="C170" t="s">
        <v>82</v>
      </c>
      <c r="D170" t="s">
        <v>63</v>
      </c>
      <c r="E170" t="s">
        <v>41</v>
      </c>
      <c r="F170" t="s">
        <v>40</v>
      </c>
      <c r="G170">
        <v>5</v>
      </c>
      <c r="H170" s="10">
        <f>_xlfn.XLOOKUP(E170,Table18[Product],Table18[Unit_Price])</f>
        <v>100</v>
      </c>
      <c r="I170" s="10">
        <f>_xlfn.XLOOKUP(E170,Table18[Product],Table18[Cost_Price])</f>
        <v>50</v>
      </c>
      <c r="J170" s="10">
        <v>35</v>
      </c>
      <c r="K170" s="10">
        <f t="shared" si="7"/>
        <v>465</v>
      </c>
      <c r="L170" s="10">
        <f t="shared" si="8"/>
        <v>215</v>
      </c>
      <c r="M170" t="s">
        <v>53</v>
      </c>
      <c r="N170" t="s">
        <v>58</v>
      </c>
      <c r="O170" t="s">
        <v>75</v>
      </c>
      <c r="P170">
        <v>5</v>
      </c>
    </row>
    <row r="171" spans="1:16" x14ac:dyDescent="0.25">
      <c r="A171" t="str">
        <f t="shared" si="6"/>
        <v>ORD0170</v>
      </c>
      <c r="B171" s="3">
        <v>46343</v>
      </c>
      <c r="C171" t="s">
        <v>76</v>
      </c>
      <c r="D171" t="s">
        <v>56</v>
      </c>
      <c r="E171" t="s">
        <v>27</v>
      </c>
      <c r="F171" t="s">
        <v>28</v>
      </c>
      <c r="G171">
        <v>1</v>
      </c>
      <c r="H171" s="10">
        <f>_xlfn.XLOOKUP(E171,Table18[Product],Table18[Unit_Price])</f>
        <v>140</v>
      </c>
      <c r="I171" s="10">
        <f>_xlfn.XLOOKUP(E171,Table18[Product],Table18[Cost_Price])</f>
        <v>70</v>
      </c>
      <c r="J171" s="10">
        <v>27</v>
      </c>
      <c r="K171" s="10">
        <f t="shared" si="7"/>
        <v>113</v>
      </c>
      <c r="L171" s="10">
        <f t="shared" si="8"/>
        <v>43</v>
      </c>
      <c r="M171" t="s">
        <v>49</v>
      </c>
      <c r="N171" t="s">
        <v>54</v>
      </c>
      <c r="O171" t="s">
        <v>59</v>
      </c>
      <c r="P171">
        <v>4</v>
      </c>
    </row>
    <row r="172" spans="1:16" x14ac:dyDescent="0.25">
      <c r="A172" t="str">
        <f t="shared" si="6"/>
        <v>ORD0171</v>
      </c>
      <c r="B172" s="3">
        <v>46082</v>
      </c>
      <c r="C172" t="s">
        <v>93</v>
      </c>
      <c r="D172" t="s">
        <v>63</v>
      </c>
      <c r="E172" t="s">
        <v>29</v>
      </c>
      <c r="F172" t="s">
        <v>28</v>
      </c>
      <c r="G172">
        <v>2</v>
      </c>
      <c r="H172" s="10">
        <f>_xlfn.XLOOKUP(E172,Table18[Product],Table18[Unit_Price])</f>
        <v>120</v>
      </c>
      <c r="I172" s="10">
        <f>_xlfn.XLOOKUP(E172,Table18[Product],Table18[Cost_Price])</f>
        <v>60</v>
      </c>
      <c r="J172" s="10">
        <v>10</v>
      </c>
      <c r="K172" s="10">
        <f t="shared" si="7"/>
        <v>230</v>
      </c>
      <c r="L172" s="10">
        <f t="shared" si="8"/>
        <v>110</v>
      </c>
      <c r="M172" t="s">
        <v>61</v>
      </c>
      <c r="N172" t="s">
        <v>54</v>
      </c>
      <c r="O172" t="s">
        <v>69</v>
      </c>
      <c r="P172">
        <v>4</v>
      </c>
    </row>
    <row r="173" spans="1:16" x14ac:dyDescent="0.25">
      <c r="A173" t="str">
        <f t="shared" si="6"/>
        <v>ORD0172</v>
      </c>
      <c r="B173" s="3">
        <v>46036</v>
      </c>
      <c r="C173" t="s">
        <v>82</v>
      </c>
      <c r="D173" t="s">
        <v>72</v>
      </c>
      <c r="E173" t="s">
        <v>24</v>
      </c>
      <c r="F173" t="s">
        <v>23</v>
      </c>
      <c r="G173">
        <v>5</v>
      </c>
      <c r="H173" s="10">
        <f>_xlfn.XLOOKUP(E173,Table18[Product],Table18[Unit_Price])</f>
        <v>210</v>
      </c>
      <c r="I173" s="10">
        <f>_xlfn.XLOOKUP(E173,Table18[Product],Table18[Cost_Price])</f>
        <v>105</v>
      </c>
      <c r="J173" s="10">
        <v>46</v>
      </c>
      <c r="K173" s="10">
        <f t="shared" si="7"/>
        <v>1004</v>
      </c>
      <c r="L173" s="10">
        <f t="shared" si="8"/>
        <v>479</v>
      </c>
      <c r="M173" t="s">
        <v>49</v>
      </c>
      <c r="N173" t="s">
        <v>50</v>
      </c>
      <c r="O173" t="s">
        <v>69</v>
      </c>
      <c r="P173">
        <v>4</v>
      </c>
    </row>
    <row r="174" spans="1:16" x14ac:dyDescent="0.25">
      <c r="A174" t="str">
        <f t="shared" si="6"/>
        <v>ORD0173</v>
      </c>
      <c r="B174" s="3">
        <v>46082</v>
      </c>
      <c r="C174" t="s">
        <v>83</v>
      </c>
      <c r="D174" t="s">
        <v>48</v>
      </c>
      <c r="E174" t="s">
        <v>42</v>
      </c>
      <c r="F174" t="s">
        <v>40</v>
      </c>
      <c r="G174">
        <v>2</v>
      </c>
      <c r="H174" s="10">
        <f>_xlfn.XLOOKUP(E174,Table18[Product],Table18[Unit_Price])</f>
        <v>80</v>
      </c>
      <c r="I174" s="10">
        <f>_xlfn.XLOOKUP(E174,Table18[Product],Table18[Cost_Price])</f>
        <v>40</v>
      </c>
      <c r="J174" s="10">
        <v>38</v>
      </c>
      <c r="K174" s="10">
        <f t="shared" si="7"/>
        <v>122</v>
      </c>
      <c r="L174" s="10">
        <f t="shared" si="8"/>
        <v>42</v>
      </c>
      <c r="M174" t="s">
        <v>49</v>
      </c>
      <c r="N174" t="s">
        <v>54</v>
      </c>
      <c r="O174" t="s">
        <v>71</v>
      </c>
      <c r="P174">
        <v>3</v>
      </c>
    </row>
    <row r="175" spans="1:16" x14ac:dyDescent="0.25">
      <c r="A175" t="str">
        <f t="shared" si="6"/>
        <v>ORD0174</v>
      </c>
      <c r="B175" s="3">
        <v>46168</v>
      </c>
      <c r="C175" t="s">
        <v>97</v>
      </c>
      <c r="D175" t="s">
        <v>52</v>
      </c>
      <c r="E175" t="s">
        <v>19</v>
      </c>
      <c r="F175" t="s">
        <v>17</v>
      </c>
      <c r="G175">
        <v>5</v>
      </c>
      <c r="H175" s="10">
        <f>_xlfn.XLOOKUP(E175,Table18[Product],Table18[Unit_Price])</f>
        <v>200</v>
      </c>
      <c r="I175" s="10">
        <f>_xlfn.XLOOKUP(E175,Table18[Product],Table18[Cost_Price])</f>
        <v>100</v>
      </c>
      <c r="J175" s="10">
        <v>31</v>
      </c>
      <c r="K175" s="10">
        <f t="shared" si="7"/>
        <v>969</v>
      </c>
      <c r="L175" s="10">
        <f t="shared" si="8"/>
        <v>469</v>
      </c>
      <c r="M175" t="s">
        <v>61</v>
      </c>
      <c r="N175" t="s">
        <v>54</v>
      </c>
      <c r="O175" t="s">
        <v>55</v>
      </c>
      <c r="P175">
        <v>4</v>
      </c>
    </row>
    <row r="176" spans="1:16" x14ac:dyDescent="0.25">
      <c r="A176" t="str">
        <f t="shared" si="6"/>
        <v>ORD0175</v>
      </c>
      <c r="B176" s="3">
        <v>46119</v>
      </c>
      <c r="C176" t="s">
        <v>79</v>
      </c>
      <c r="D176" t="s">
        <v>60</v>
      </c>
      <c r="E176" t="s">
        <v>21</v>
      </c>
      <c r="F176" t="s">
        <v>17</v>
      </c>
      <c r="G176">
        <v>4</v>
      </c>
      <c r="H176" s="10">
        <f>_xlfn.XLOOKUP(E176,Table18[Product],Table18[Unit_Price])</f>
        <v>220</v>
      </c>
      <c r="I176" s="10">
        <f>_xlfn.XLOOKUP(E176,Table18[Product],Table18[Cost_Price])</f>
        <v>110</v>
      </c>
      <c r="J176" s="10">
        <v>19</v>
      </c>
      <c r="K176" s="10">
        <f t="shared" si="7"/>
        <v>861</v>
      </c>
      <c r="L176" s="10">
        <f t="shared" si="8"/>
        <v>421</v>
      </c>
      <c r="M176" t="s">
        <v>57</v>
      </c>
      <c r="N176" t="s">
        <v>50</v>
      </c>
      <c r="O176" t="s">
        <v>55</v>
      </c>
      <c r="P176">
        <v>3</v>
      </c>
    </row>
    <row r="177" spans="1:16" x14ac:dyDescent="0.25">
      <c r="A177" t="str">
        <f t="shared" si="6"/>
        <v>ORD0176</v>
      </c>
      <c r="B177" s="3">
        <v>46033</v>
      </c>
      <c r="C177" t="s">
        <v>93</v>
      </c>
      <c r="D177" t="s">
        <v>72</v>
      </c>
      <c r="E177" t="s">
        <v>19</v>
      </c>
      <c r="F177" t="s">
        <v>17</v>
      </c>
      <c r="G177">
        <v>2</v>
      </c>
      <c r="H177" s="10">
        <f>_xlfn.XLOOKUP(E177,Table18[Product],Table18[Unit_Price])</f>
        <v>200</v>
      </c>
      <c r="I177" s="10">
        <f>_xlfn.XLOOKUP(E177,Table18[Product],Table18[Cost_Price])</f>
        <v>100</v>
      </c>
      <c r="J177" s="10">
        <v>21</v>
      </c>
      <c r="K177" s="10">
        <f t="shared" si="7"/>
        <v>379</v>
      </c>
      <c r="L177" s="10">
        <f t="shared" si="8"/>
        <v>179</v>
      </c>
      <c r="M177" t="s">
        <v>49</v>
      </c>
      <c r="N177" t="s">
        <v>58</v>
      </c>
      <c r="O177" t="s">
        <v>55</v>
      </c>
      <c r="P177">
        <v>3</v>
      </c>
    </row>
    <row r="178" spans="1:16" x14ac:dyDescent="0.25">
      <c r="A178" t="str">
        <f t="shared" si="6"/>
        <v>ORD0177</v>
      </c>
      <c r="B178" s="3">
        <v>46313</v>
      </c>
      <c r="C178" t="s">
        <v>88</v>
      </c>
      <c r="D178" t="s">
        <v>68</v>
      </c>
      <c r="E178" t="s">
        <v>29</v>
      </c>
      <c r="F178" t="s">
        <v>28</v>
      </c>
      <c r="G178">
        <v>5</v>
      </c>
      <c r="H178" s="10">
        <f>_xlfn.XLOOKUP(E178,Table18[Product],Table18[Unit_Price])</f>
        <v>120</v>
      </c>
      <c r="I178" s="10">
        <f>_xlfn.XLOOKUP(E178,Table18[Product],Table18[Cost_Price])</f>
        <v>60</v>
      </c>
      <c r="J178" s="10">
        <v>5</v>
      </c>
      <c r="K178" s="10">
        <f t="shared" si="7"/>
        <v>595</v>
      </c>
      <c r="L178" s="10">
        <f t="shared" si="8"/>
        <v>295</v>
      </c>
      <c r="M178" t="s">
        <v>61</v>
      </c>
      <c r="N178" t="s">
        <v>50</v>
      </c>
      <c r="O178" t="s">
        <v>67</v>
      </c>
      <c r="P178">
        <v>3</v>
      </c>
    </row>
    <row r="179" spans="1:16" x14ac:dyDescent="0.25">
      <c r="A179" t="str">
        <f t="shared" si="6"/>
        <v>ORD0178</v>
      </c>
      <c r="B179" s="3">
        <v>46340</v>
      </c>
      <c r="C179" t="s">
        <v>92</v>
      </c>
      <c r="D179" t="s">
        <v>74</v>
      </c>
      <c r="E179" t="s">
        <v>42</v>
      </c>
      <c r="F179" t="s">
        <v>40</v>
      </c>
      <c r="G179">
        <v>1</v>
      </c>
      <c r="H179" s="10">
        <f>_xlfn.XLOOKUP(E179,Table18[Product],Table18[Unit_Price])</f>
        <v>80</v>
      </c>
      <c r="I179" s="10">
        <f>_xlfn.XLOOKUP(E179,Table18[Product],Table18[Cost_Price])</f>
        <v>40</v>
      </c>
      <c r="J179" s="10">
        <v>30</v>
      </c>
      <c r="K179" s="10">
        <f t="shared" si="7"/>
        <v>50</v>
      </c>
      <c r="L179" s="10">
        <f t="shared" si="8"/>
        <v>10</v>
      </c>
      <c r="M179" t="s">
        <v>53</v>
      </c>
      <c r="N179" t="s">
        <v>58</v>
      </c>
      <c r="O179" t="s">
        <v>73</v>
      </c>
      <c r="P179">
        <v>5</v>
      </c>
    </row>
    <row r="180" spans="1:16" x14ac:dyDescent="0.25">
      <c r="A180" t="str">
        <f t="shared" si="6"/>
        <v>ORD0179</v>
      </c>
      <c r="B180" s="3">
        <v>46054</v>
      </c>
      <c r="C180" t="s">
        <v>84</v>
      </c>
      <c r="D180" t="s">
        <v>60</v>
      </c>
      <c r="E180" t="s">
        <v>25</v>
      </c>
      <c r="F180" t="s">
        <v>26</v>
      </c>
      <c r="G180">
        <v>1</v>
      </c>
      <c r="H180" s="10">
        <f>_xlfn.XLOOKUP(E180,Table18[Product],Table18[Unit_Price])</f>
        <v>170</v>
      </c>
      <c r="I180" s="10">
        <f>_xlfn.XLOOKUP(E180,Table18[Product],Table18[Cost_Price])</f>
        <v>85</v>
      </c>
      <c r="J180" s="10">
        <v>24</v>
      </c>
      <c r="K180" s="10">
        <f t="shared" si="7"/>
        <v>146</v>
      </c>
      <c r="L180" s="10">
        <f t="shared" si="8"/>
        <v>61</v>
      </c>
      <c r="M180" t="s">
        <v>57</v>
      </c>
      <c r="N180" t="s">
        <v>58</v>
      </c>
      <c r="O180" t="s">
        <v>69</v>
      </c>
      <c r="P180">
        <v>4</v>
      </c>
    </row>
    <row r="181" spans="1:16" x14ac:dyDescent="0.25">
      <c r="A181" t="str">
        <f t="shared" si="6"/>
        <v>ORD0180</v>
      </c>
      <c r="B181" s="3">
        <v>46169</v>
      </c>
      <c r="C181" t="s">
        <v>103</v>
      </c>
      <c r="D181" t="s">
        <v>52</v>
      </c>
      <c r="E181" t="s">
        <v>29</v>
      </c>
      <c r="F181" t="s">
        <v>28</v>
      </c>
      <c r="G181">
        <v>1</v>
      </c>
      <c r="H181" s="10">
        <f>_xlfn.XLOOKUP(E181,Table18[Product],Table18[Unit_Price])</f>
        <v>120</v>
      </c>
      <c r="I181" s="10">
        <f>_xlfn.XLOOKUP(E181,Table18[Product],Table18[Cost_Price])</f>
        <v>60</v>
      </c>
      <c r="J181" s="10">
        <v>50</v>
      </c>
      <c r="K181" s="10">
        <f t="shared" si="7"/>
        <v>70</v>
      </c>
      <c r="L181" s="10">
        <f t="shared" si="8"/>
        <v>10</v>
      </c>
      <c r="M181" t="s">
        <v>49</v>
      </c>
      <c r="N181" t="s">
        <v>58</v>
      </c>
      <c r="O181" t="s">
        <v>51</v>
      </c>
      <c r="P181">
        <v>5</v>
      </c>
    </row>
    <row r="182" spans="1:16" x14ac:dyDescent="0.25">
      <c r="A182" t="str">
        <f t="shared" si="6"/>
        <v>ORD0181</v>
      </c>
      <c r="B182" s="3">
        <v>46033</v>
      </c>
      <c r="C182" t="s">
        <v>93</v>
      </c>
      <c r="D182" t="s">
        <v>63</v>
      </c>
      <c r="E182" t="s">
        <v>25</v>
      </c>
      <c r="F182" t="s">
        <v>26</v>
      </c>
      <c r="G182">
        <v>1</v>
      </c>
      <c r="H182" s="10">
        <f>_xlfn.XLOOKUP(E182,Table18[Product],Table18[Unit_Price])</f>
        <v>170</v>
      </c>
      <c r="I182" s="10">
        <f>_xlfn.XLOOKUP(E182,Table18[Product],Table18[Cost_Price])</f>
        <v>85</v>
      </c>
      <c r="J182" s="10">
        <v>26</v>
      </c>
      <c r="K182" s="10">
        <f t="shared" si="7"/>
        <v>144</v>
      </c>
      <c r="L182" s="10">
        <f t="shared" si="8"/>
        <v>59</v>
      </c>
      <c r="M182" t="s">
        <v>57</v>
      </c>
      <c r="N182" t="s">
        <v>58</v>
      </c>
      <c r="O182" t="s">
        <v>55</v>
      </c>
      <c r="P182">
        <v>4</v>
      </c>
    </row>
    <row r="183" spans="1:16" x14ac:dyDescent="0.25">
      <c r="A183" t="str">
        <f t="shared" si="6"/>
        <v>ORD0182</v>
      </c>
      <c r="B183" s="3">
        <v>46099</v>
      </c>
      <c r="C183" t="s">
        <v>95</v>
      </c>
      <c r="D183" t="s">
        <v>66</v>
      </c>
      <c r="E183" t="s">
        <v>33</v>
      </c>
      <c r="F183" t="s">
        <v>31</v>
      </c>
      <c r="G183">
        <v>3</v>
      </c>
      <c r="H183" s="10">
        <f>_xlfn.XLOOKUP(E183,Table18[Product],Table18[Unit_Price])</f>
        <v>150</v>
      </c>
      <c r="I183" s="10">
        <f>_xlfn.XLOOKUP(E183,Table18[Product],Table18[Cost_Price])</f>
        <v>75</v>
      </c>
      <c r="J183" s="10">
        <v>29</v>
      </c>
      <c r="K183" s="10">
        <f t="shared" si="7"/>
        <v>421</v>
      </c>
      <c r="L183" s="10">
        <f t="shared" si="8"/>
        <v>196</v>
      </c>
      <c r="M183" t="s">
        <v>61</v>
      </c>
      <c r="N183" t="s">
        <v>58</v>
      </c>
      <c r="O183" t="s">
        <v>62</v>
      </c>
      <c r="P183">
        <v>5</v>
      </c>
    </row>
    <row r="184" spans="1:16" x14ac:dyDescent="0.25">
      <c r="A184" t="str">
        <f t="shared" si="6"/>
        <v>ORD0183</v>
      </c>
      <c r="B184" s="3">
        <v>46215</v>
      </c>
      <c r="C184" t="s">
        <v>92</v>
      </c>
      <c r="D184" t="s">
        <v>74</v>
      </c>
      <c r="E184" t="s">
        <v>18</v>
      </c>
      <c r="F184" t="s">
        <v>17</v>
      </c>
      <c r="G184">
        <v>2</v>
      </c>
      <c r="H184" s="10">
        <f>_xlfn.XLOOKUP(E184,Table18[Product],Table18[Unit_Price])</f>
        <v>180</v>
      </c>
      <c r="I184" s="10">
        <f>_xlfn.XLOOKUP(E184,Table18[Product],Table18[Cost_Price])</f>
        <v>90</v>
      </c>
      <c r="J184" s="10">
        <v>6</v>
      </c>
      <c r="K184" s="10">
        <f t="shared" si="7"/>
        <v>354</v>
      </c>
      <c r="L184" s="10">
        <f t="shared" si="8"/>
        <v>174</v>
      </c>
      <c r="M184" t="s">
        <v>53</v>
      </c>
      <c r="N184" t="s">
        <v>58</v>
      </c>
      <c r="O184" t="s">
        <v>69</v>
      </c>
      <c r="P184">
        <v>3</v>
      </c>
    </row>
    <row r="185" spans="1:16" x14ac:dyDescent="0.25">
      <c r="A185" t="str">
        <f t="shared" si="6"/>
        <v>ORD0184</v>
      </c>
      <c r="B185" s="3">
        <v>46218</v>
      </c>
      <c r="C185" t="s">
        <v>90</v>
      </c>
      <c r="D185" t="s">
        <v>60</v>
      </c>
      <c r="E185" t="s">
        <v>30</v>
      </c>
      <c r="F185" t="s">
        <v>31</v>
      </c>
      <c r="G185">
        <v>1</v>
      </c>
      <c r="H185" s="10">
        <f>_xlfn.XLOOKUP(E185,Table18[Product],Table18[Unit_Price])</f>
        <v>110</v>
      </c>
      <c r="I185" s="10">
        <f>_xlfn.XLOOKUP(E185,Table18[Product],Table18[Cost_Price])</f>
        <v>55</v>
      </c>
      <c r="J185" s="10">
        <v>35</v>
      </c>
      <c r="K185" s="10">
        <f t="shared" si="7"/>
        <v>75</v>
      </c>
      <c r="L185" s="10">
        <f t="shared" si="8"/>
        <v>20</v>
      </c>
      <c r="M185" t="s">
        <v>61</v>
      </c>
      <c r="N185" t="s">
        <v>54</v>
      </c>
      <c r="O185" t="s">
        <v>55</v>
      </c>
      <c r="P185">
        <v>5</v>
      </c>
    </row>
    <row r="186" spans="1:16" x14ac:dyDescent="0.25">
      <c r="A186" t="str">
        <f t="shared" si="6"/>
        <v>ORD0185</v>
      </c>
      <c r="B186" s="3">
        <v>46271</v>
      </c>
      <c r="C186" t="s">
        <v>104</v>
      </c>
      <c r="D186" t="s">
        <v>68</v>
      </c>
      <c r="E186" t="s">
        <v>22</v>
      </c>
      <c r="F186" t="s">
        <v>23</v>
      </c>
      <c r="G186">
        <v>2</v>
      </c>
      <c r="H186" s="10">
        <f>_xlfn.XLOOKUP(E186,Table18[Product],Table18[Unit_Price])</f>
        <v>190</v>
      </c>
      <c r="I186" s="10">
        <f>_xlfn.XLOOKUP(E186,Table18[Product],Table18[Cost_Price])</f>
        <v>95</v>
      </c>
      <c r="J186" s="10">
        <v>26</v>
      </c>
      <c r="K186" s="10">
        <f t="shared" si="7"/>
        <v>354</v>
      </c>
      <c r="L186" s="10">
        <f t="shared" si="8"/>
        <v>164</v>
      </c>
      <c r="M186" t="s">
        <v>61</v>
      </c>
      <c r="N186" t="s">
        <v>54</v>
      </c>
      <c r="O186" t="s">
        <v>62</v>
      </c>
      <c r="P186">
        <v>5</v>
      </c>
    </row>
    <row r="187" spans="1:16" x14ac:dyDescent="0.25">
      <c r="A187" t="str">
        <f t="shared" si="6"/>
        <v>ORD0186</v>
      </c>
      <c r="B187" s="3">
        <v>46271</v>
      </c>
      <c r="C187" t="s">
        <v>90</v>
      </c>
      <c r="D187" t="s">
        <v>48</v>
      </c>
      <c r="E187" t="s">
        <v>20</v>
      </c>
      <c r="F187" t="s">
        <v>17</v>
      </c>
      <c r="G187">
        <v>5</v>
      </c>
      <c r="H187" s="10">
        <f>_xlfn.XLOOKUP(E187,Table18[Product],Table18[Unit_Price])</f>
        <v>150</v>
      </c>
      <c r="I187" s="10">
        <f>_xlfn.XLOOKUP(E187,Table18[Product],Table18[Cost_Price])</f>
        <v>75</v>
      </c>
      <c r="J187" s="10">
        <v>27</v>
      </c>
      <c r="K187" s="10">
        <f t="shared" si="7"/>
        <v>723</v>
      </c>
      <c r="L187" s="10">
        <f t="shared" si="8"/>
        <v>348</v>
      </c>
      <c r="M187" t="s">
        <v>53</v>
      </c>
      <c r="N187" t="s">
        <v>54</v>
      </c>
      <c r="O187" t="s">
        <v>65</v>
      </c>
      <c r="P187">
        <v>4</v>
      </c>
    </row>
    <row r="188" spans="1:16" x14ac:dyDescent="0.25">
      <c r="A188" t="str">
        <f t="shared" si="6"/>
        <v>ORD0187</v>
      </c>
      <c r="B188" s="3">
        <v>46145</v>
      </c>
      <c r="C188" t="s">
        <v>103</v>
      </c>
      <c r="D188" t="s">
        <v>48</v>
      </c>
      <c r="E188" t="s">
        <v>16</v>
      </c>
      <c r="F188" t="s">
        <v>17</v>
      </c>
      <c r="G188">
        <v>3</v>
      </c>
      <c r="H188" s="10">
        <f>_xlfn.XLOOKUP(E188,Table18[Product],Table18[Unit_Price])</f>
        <v>120</v>
      </c>
      <c r="I188" s="10">
        <f>_xlfn.XLOOKUP(E188,Table18[Product],Table18[Cost_Price])</f>
        <v>60</v>
      </c>
      <c r="J188" s="10">
        <v>35</v>
      </c>
      <c r="K188" s="10">
        <f t="shared" si="7"/>
        <v>325</v>
      </c>
      <c r="L188" s="10">
        <f t="shared" si="8"/>
        <v>145</v>
      </c>
      <c r="M188" t="s">
        <v>61</v>
      </c>
      <c r="N188" t="s">
        <v>58</v>
      </c>
      <c r="O188" t="s">
        <v>67</v>
      </c>
      <c r="P188">
        <v>4</v>
      </c>
    </row>
    <row r="189" spans="1:16" x14ac:dyDescent="0.25">
      <c r="A189" t="str">
        <f t="shared" si="6"/>
        <v>ORD0188</v>
      </c>
      <c r="B189" s="3">
        <v>46134</v>
      </c>
      <c r="C189" t="s">
        <v>89</v>
      </c>
      <c r="D189" t="s">
        <v>56</v>
      </c>
      <c r="E189" t="s">
        <v>29</v>
      </c>
      <c r="F189" t="s">
        <v>28</v>
      </c>
      <c r="G189">
        <v>4</v>
      </c>
      <c r="H189" s="10">
        <f>_xlfn.XLOOKUP(E189,Table18[Product],Table18[Unit_Price])</f>
        <v>120</v>
      </c>
      <c r="I189" s="10">
        <f>_xlfn.XLOOKUP(E189,Table18[Product],Table18[Cost_Price])</f>
        <v>60</v>
      </c>
      <c r="J189" s="10">
        <v>14</v>
      </c>
      <c r="K189" s="10">
        <f t="shared" si="7"/>
        <v>466</v>
      </c>
      <c r="L189" s="10">
        <f t="shared" si="8"/>
        <v>226</v>
      </c>
      <c r="M189" t="s">
        <v>64</v>
      </c>
      <c r="N189" t="s">
        <v>50</v>
      </c>
      <c r="O189" t="s">
        <v>75</v>
      </c>
      <c r="P189">
        <v>4</v>
      </c>
    </row>
    <row r="190" spans="1:16" x14ac:dyDescent="0.25">
      <c r="A190" t="str">
        <f t="shared" si="6"/>
        <v>ORD0189</v>
      </c>
      <c r="B190" s="3">
        <v>46183</v>
      </c>
      <c r="C190" t="s">
        <v>98</v>
      </c>
      <c r="D190" t="s">
        <v>52</v>
      </c>
      <c r="E190" t="s">
        <v>42</v>
      </c>
      <c r="F190" t="s">
        <v>40</v>
      </c>
      <c r="G190">
        <v>2</v>
      </c>
      <c r="H190" s="10">
        <f>_xlfn.XLOOKUP(E190,Table18[Product],Table18[Unit_Price])</f>
        <v>80</v>
      </c>
      <c r="I190" s="10">
        <f>_xlfn.XLOOKUP(E190,Table18[Product],Table18[Cost_Price])</f>
        <v>40</v>
      </c>
      <c r="J190" s="10">
        <v>6</v>
      </c>
      <c r="K190" s="10">
        <f t="shared" si="7"/>
        <v>154</v>
      </c>
      <c r="L190" s="10">
        <f t="shared" si="8"/>
        <v>74</v>
      </c>
      <c r="M190" t="s">
        <v>61</v>
      </c>
      <c r="N190" t="s">
        <v>58</v>
      </c>
      <c r="O190" t="s">
        <v>62</v>
      </c>
      <c r="P190">
        <v>4</v>
      </c>
    </row>
    <row r="191" spans="1:16" x14ac:dyDescent="0.25">
      <c r="A191" t="str">
        <f t="shared" si="6"/>
        <v>ORD0190</v>
      </c>
      <c r="B191" s="3">
        <v>46308</v>
      </c>
      <c r="C191" t="s">
        <v>95</v>
      </c>
      <c r="D191" t="s">
        <v>70</v>
      </c>
      <c r="E191" t="s">
        <v>24</v>
      </c>
      <c r="F191" t="s">
        <v>23</v>
      </c>
      <c r="G191">
        <v>1</v>
      </c>
      <c r="H191" s="10">
        <f>_xlfn.XLOOKUP(E191,Table18[Product],Table18[Unit_Price])</f>
        <v>210</v>
      </c>
      <c r="I191" s="10">
        <f>_xlfn.XLOOKUP(E191,Table18[Product],Table18[Cost_Price])</f>
        <v>105</v>
      </c>
      <c r="J191" s="10">
        <v>30</v>
      </c>
      <c r="K191" s="10">
        <f t="shared" si="7"/>
        <v>180</v>
      </c>
      <c r="L191" s="10">
        <f t="shared" si="8"/>
        <v>75</v>
      </c>
      <c r="M191" t="s">
        <v>61</v>
      </c>
      <c r="N191" t="s">
        <v>50</v>
      </c>
      <c r="O191" t="s">
        <v>59</v>
      </c>
      <c r="P191">
        <v>3</v>
      </c>
    </row>
    <row r="192" spans="1:16" x14ac:dyDescent="0.25">
      <c r="A192" t="str">
        <f t="shared" si="6"/>
        <v>ORD0191</v>
      </c>
      <c r="B192" s="3">
        <v>46277</v>
      </c>
      <c r="C192" t="s">
        <v>103</v>
      </c>
      <c r="D192" t="s">
        <v>52</v>
      </c>
      <c r="E192" t="s">
        <v>29</v>
      </c>
      <c r="F192" t="s">
        <v>28</v>
      </c>
      <c r="G192">
        <v>4</v>
      </c>
      <c r="H192" s="10">
        <f>_xlfn.XLOOKUP(E192,Table18[Product],Table18[Unit_Price])</f>
        <v>120</v>
      </c>
      <c r="I192" s="10">
        <f>_xlfn.XLOOKUP(E192,Table18[Product],Table18[Cost_Price])</f>
        <v>60</v>
      </c>
      <c r="J192" s="10">
        <v>28</v>
      </c>
      <c r="K192" s="10">
        <f t="shared" si="7"/>
        <v>452</v>
      </c>
      <c r="L192" s="10">
        <f t="shared" si="8"/>
        <v>212</v>
      </c>
      <c r="M192" t="s">
        <v>49</v>
      </c>
      <c r="N192" t="s">
        <v>54</v>
      </c>
      <c r="O192" t="s">
        <v>71</v>
      </c>
      <c r="P192">
        <v>5</v>
      </c>
    </row>
    <row r="193" spans="1:16" x14ac:dyDescent="0.25">
      <c r="A193" t="str">
        <f t="shared" si="6"/>
        <v>ORD0192</v>
      </c>
      <c r="B193" s="3">
        <v>46363</v>
      </c>
      <c r="C193" t="s">
        <v>96</v>
      </c>
      <c r="D193" t="s">
        <v>70</v>
      </c>
      <c r="E193" t="s">
        <v>16</v>
      </c>
      <c r="F193" t="s">
        <v>17</v>
      </c>
      <c r="G193">
        <v>5</v>
      </c>
      <c r="H193" s="10">
        <f>_xlfn.XLOOKUP(E193,Table18[Product],Table18[Unit_Price])</f>
        <v>120</v>
      </c>
      <c r="I193" s="10">
        <f>_xlfn.XLOOKUP(E193,Table18[Product],Table18[Cost_Price])</f>
        <v>60</v>
      </c>
      <c r="J193" s="10">
        <v>38</v>
      </c>
      <c r="K193" s="10">
        <f t="shared" si="7"/>
        <v>562</v>
      </c>
      <c r="L193" s="10">
        <f t="shared" si="8"/>
        <v>262</v>
      </c>
      <c r="M193" t="s">
        <v>57</v>
      </c>
      <c r="N193" t="s">
        <v>50</v>
      </c>
      <c r="O193" t="s">
        <v>67</v>
      </c>
      <c r="P193">
        <v>5</v>
      </c>
    </row>
    <row r="194" spans="1:16" x14ac:dyDescent="0.25">
      <c r="A194" t="str">
        <f t="shared" si="6"/>
        <v>ORD0193</v>
      </c>
      <c r="B194" s="3">
        <v>46085</v>
      </c>
      <c r="C194" t="s">
        <v>83</v>
      </c>
      <c r="D194" t="s">
        <v>56</v>
      </c>
      <c r="E194" t="s">
        <v>39</v>
      </c>
      <c r="F194" t="s">
        <v>40</v>
      </c>
      <c r="G194">
        <v>5</v>
      </c>
      <c r="H194" s="10">
        <f>_xlfn.XLOOKUP(E194,Table18[Product],Table18[Unit_Price])</f>
        <v>240</v>
      </c>
      <c r="I194" s="10">
        <f>_xlfn.XLOOKUP(E194,Table18[Product],Table18[Cost_Price])</f>
        <v>120</v>
      </c>
      <c r="J194" s="10">
        <v>9</v>
      </c>
      <c r="K194" s="10">
        <f t="shared" si="7"/>
        <v>1191</v>
      </c>
      <c r="L194" s="10">
        <f t="shared" si="8"/>
        <v>591</v>
      </c>
      <c r="M194" t="s">
        <v>57</v>
      </c>
      <c r="N194" t="s">
        <v>58</v>
      </c>
      <c r="O194" t="s">
        <v>62</v>
      </c>
      <c r="P194">
        <v>3</v>
      </c>
    </row>
    <row r="195" spans="1:16" x14ac:dyDescent="0.25">
      <c r="A195" t="str">
        <f t="shared" ref="A195:A258" si="9">"ORD"&amp;TEXT(ROW()-1,"0000")</f>
        <v>ORD0194</v>
      </c>
      <c r="B195" s="3">
        <v>46231</v>
      </c>
      <c r="C195" t="s">
        <v>85</v>
      </c>
      <c r="D195" t="s">
        <v>66</v>
      </c>
      <c r="E195" t="s">
        <v>16</v>
      </c>
      <c r="F195" t="s">
        <v>17</v>
      </c>
      <c r="G195">
        <v>4</v>
      </c>
      <c r="H195" s="10">
        <f>_xlfn.XLOOKUP(E195,Table18[Product],Table18[Unit_Price])</f>
        <v>120</v>
      </c>
      <c r="I195" s="10">
        <f>_xlfn.XLOOKUP(E195,Table18[Product],Table18[Cost_Price])</f>
        <v>60</v>
      </c>
      <c r="J195" s="10">
        <v>21</v>
      </c>
      <c r="K195" s="10">
        <f t="shared" ref="K195:K258" si="10">(G195*H195)-J195</f>
        <v>459</v>
      </c>
      <c r="L195" s="10">
        <f t="shared" ref="L195:L258" si="11">K195-(G195*I195)</f>
        <v>219</v>
      </c>
      <c r="M195" t="s">
        <v>49</v>
      </c>
      <c r="N195" t="s">
        <v>54</v>
      </c>
      <c r="O195" t="s">
        <v>73</v>
      </c>
      <c r="P195">
        <v>5</v>
      </c>
    </row>
    <row r="196" spans="1:16" x14ac:dyDescent="0.25">
      <c r="A196" t="str">
        <f t="shared" si="9"/>
        <v>ORD0195</v>
      </c>
      <c r="B196" s="3">
        <v>46291</v>
      </c>
      <c r="C196" t="s">
        <v>96</v>
      </c>
      <c r="D196" t="s">
        <v>60</v>
      </c>
      <c r="E196" t="s">
        <v>36</v>
      </c>
      <c r="F196" t="s">
        <v>35</v>
      </c>
      <c r="G196">
        <v>2</v>
      </c>
      <c r="H196" s="10">
        <f>_xlfn.XLOOKUP(E196,Table18[Product],Table18[Unit_Price])</f>
        <v>220</v>
      </c>
      <c r="I196" s="10">
        <f>_xlfn.XLOOKUP(E196,Table18[Product],Table18[Cost_Price])</f>
        <v>110</v>
      </c>
      <c r="J196" s="10">
        <v>33</v>
      </c>
      <c r="K196" s="10">
        <f t="shared" si="10"/>
        <v>407</v>
      </c>
      <c r="L196" s="10">
        <f t="shared" si="11"/>
        <v>187</v>
      </c>
      <c r="M196" t="s">
        <v>49</v>
      </c>
      <c r="N196" t="s">
        <v>54</v>
      </c>
      <c r="O196" t="s">
        <v>59</v>
      </c>
      <c r="P196">
        <v>5</v>
      </c>
    </row>
    <row r="197" spans="1:16" x14ac:dyDescent="0.25">
      <c r="A197" t="str">
        <f t="shared" si="9"/>
        <v>ORD0196</v>
      </c>
      <c r="B197" s="3">
        <v>46149</v>
      </c>
      <c r="C197" t="s">
        <v>96</v>
      </c>
      <c r="D197" t="s">
        <v>60</v>
      </c>
      <c r="E197" t="s">
        <v>18</v>
      </c>
      <c r="F197" t="s">
        <v>17</v>
      </c>
      <c r="G197">
        <v>5</v>
      </c>
      <c r="H197" s="10">
        <f>_xlfn.XLOOKUP(E197,Table18[Product],Table18[Unit_Price])</f>
        <v>180</v>
      </c>
      <c r="I197" s="10">
        <f>_xlfn.XLOOKUP(E197,Table18[Product],Table18[Cost_Price])</f>
        <v>90</v>
      </c>
      <c r="J197" s="10">
        <v>38</v>
      </c>
      <c r="K197" s="10">
        <f t="shared" si="10"/>
        <v>862</v>
      </c>
      <c r="L197" s="10">
        <f t="shared" si="11"/>
        <v>412</v>
      </c>
      <c r="M197" t="s">
        <v>53</v>
      </c>
      <c r="N197" t="s">
        <v>54</v>
      </c>
      <c r="O197" t="s">
        <v>73</v>
      </c>
      <c r="P197">
        <v>5</v>
      </c>
    </row>
    <row r="198" spans="1:16" x14ac:dyDescent="0.25">
      <c r="A198" t="str">
        <f t="shared" si="9"/>
        <v>ORD0197</v>
      </c>
      <c r="B198" s="3">
        <v>46163</v>
      </c>
      <c r="C198" t="s">
        <v>92</v>
      </c>
      <c r="D198" t="s">
        <v>60</v>
      </c>
      <c r="E198" t="s">
        <v>39</v>
      </c>
      <c r="F198" t="s">
        <v>40</v>
      </c>
      <c r="G198">
        <v>3</v>
      </c>
      <c r="H198" s="10">
        <f>_xlfn.XLOOKUP(E198,Table18[Product],Table18[Unit_Price])</f>
        <v>240</v>
      </c>
      <c r="I198" s="10">
        <f>_xlfn.XLOOKUP(E198,Table18[Product],Table18[Cost_Price])</f>
        <v>120</v>
      </c>
      <c r="J198" s="10">
        <v>1</v>
      </c>
      <c r="K198" s="10">
        <f t="shared" si="10"/>
        <v>719</v>
      </c>
      <c r="L198" s="10">
        <f t="shared" si="11"/>
        <v>359</v>
      </c>
      <c r="M198" t="s">
        <v>64</v>
      </c>
      <c r="N198" t="s">
        <v>50</v>
      </c>
      <c r="O198" t="s">
        <v>62</v>
      </c>
      <c r="P198">
        <v>3</v>
      </c>
    </row>
    <row r="199" spans="1:16" x14ac:dyDescent="0.25">
      <c r="A199" t="str">
        <f t="shared" si="9"/>
        <v>ORD0198</v>
      </c>
      <c r="B199" s="3">
        <v>46213</v>
      </c>
      <c r="C199" t="s">
        <v>103</v>
      </c>
      <c r="D199" t="s">
        <v>48</v>
      </c>
      <c r="E199" t="s">
        <v>29</v>
      </c>
      <c r="F199" t="s">
        <v>28</v>
      </c>
      <c r="G199">
        <v>4</v>
      </c>
      <c r="H199" s="10">
        <f>_xlfn.XLOOKUP(E199,Table18[Product],Table18[Unit_Price])</f>
        <v>120</v>
      </c>
      <c r="I199" s="10">
        <f>_xlfn.XLOOKUP(E199,Table18[Product],Table18[Cost_Price])</f>
        <v>60</v>
      </c>
      <c r="J199" s="10">
        <v>3</v>
      </c>
      <c r="K199" s="10">
        <f t="shared" si="10"/>
        <v>477</v>
      </c>
      <c r="L199" s="10">
        <f t="shared" si="11"/>
        <v>237</v>
      </c>
      <c r="M199" t="s">
        <v>64</v>
      </c>
      <c r="N199" t="s">
        <v>54</v>
      </c>
      <c r="O199" t="s">
        <v>51</v>
      </c>
      <c r="P199">
        <v>5</v>
      </c>
    </row>
    <row r="200" spans="1:16" x14ac:dyDescent="0.25">
      <c r="A200" t="str">
        <f t="shared" si="9"/>
        <v>ORD0199</v>
      </c>
      <c r="B200" s="3">
        <v>46091</v>
      </c>
      <c r="C200" t="s">
        <v>86</v>
      </c>
      <c r="D200" t="s">
        <v>74</v>
      </c>
      <c r="E200" t="s">
        <v>38</v>
      </c>
      <c r="F200" t="s">
        <v>35</v>
      </c>
      <c r="G200">
        <v>5</v>
      </c>
      <c r="H200" s="10">
        <f>_xlfn.XLOOKUP(E200,Table18[Product],Table18[Unit_Price])</f>
        <v>170</v>
      </c>
      <c r="I200" s="10">
        <f>_xlfn.XLOOKUP(E200,Table18[Product],Table18[Cost_Price])</f>
        <v>85</v>
      </c>
      <c r="J200" s="10">
        <v>0</v>
      </c>
      <c r="K200" s="10">
        <f t="shared" si="10"/>
        <v>850</v>
      </c>
      <c r="L200" s="10">
        <f t="shared" si="11"/>
        <v>425</v>
      </c>
      <c r="M200" t="s">
        <v>57</v>
      </c>
      <c r="N200" t="s">
        <v>50</v>
      </c>
      <c r="O200" t="s">
        <v>71</v>
      </c>
      <c r="P200">
        <v>5</v>
      </c>
    </row>
    <row r="201" spans="1:16" x14ac:dyDescent="0.25">
      <c r="A201" t="str">
        <f t="shared" si="9"/>
        <v>ORD0200</v>
      </c>
      <c r="B201" s="3">
        <v>46342</v>
      </c>
      <c r="C201" t="s">
        <v>90</v>
      </c>
      <c r="D201" t="s">
        <v>60</v>
      </c>
      <c r="E201" t="s">
        <v>24</v>
      </c>
      <c r="F201" t="s">
        <v>23</v>
      </c>
      <c r="G201">
        <v>2</v>
      </c>
      <c r="H201" s="10">
        <f>_xlfn.XLOOKUP(E201,Table18[Product],Table18[Unit_Price])</f>
        <v>210</v>
      </c>
      <c r="I201" s="10">
        <f>_xlfn.XLOOKUP(E201,Table18[Product],Table18[Cost_Price])</f>
        <v>105</v>
      </c>
      <c r="J201" s="10">
        <v>28</v>
      </c>
      <c r="K201" s="10">
        <f t="shared" si="10"/>
        <v>392</v>
      </c>
      <c r="L201" s="10">
        <f t="shared" si="11"/>
        <v>182</v>
      </c>
      <c r="M201" t="s">
        <v>49</v>
      </c>
      <c r="N201" t="s">
        <v>54</v>
      </c>
      <c r="O201" t="s">
        <v>59</v>
      </c>
      <c r="P201">
        <v>4</v>
      </c>
    </row>
    <row r="202" spans="1:16" x14ac:dyDescent="0.25">
      <c r="A202" t="str">
        <f t="shared" si="9"/>
        <v>ORD0201</v>
      </c>
      <c r="B202" s="3">
        <v>46177</v>
      </c>
      <c r="C202" t="s">
        <v>90</v>
      </c>
      <c r="D202" t="s">
        <v>48</v>
      </c>
      <c r="E202" t="s">
        <v>29</v>
      </c>
      <c r="F202" t="s">
        <v>28</v>
      </c>
      <c r="G202">
        <v>4</v>
      </c>
      <c r="H202" s="10">
        <f>_xlfn.XLOOKUP(E202,Table18[Product],Table18[Unit_Price])</f>
        <v>120</v>
      </c>
      <c r="I202" s="10">
        <f>_xlfn.XLOOKUP(E202,Table18[Product],Table18[Cost_Price])</f>
        <v>60</v>
      </c>
      <c r="J202" s="10">
        <v>11</v>
      </c>
      <c r="K202" s="10">
        <f t="shared" si="10"/>
        <v>469</v>
      </c>
      <c r="L202" s="10">
        <f t="shared" si="11"/>
        <v>229</v>
      </c>
      <c r="M202" t="s">
        <v>53</v>
      </c>
      <c r="N202" t="s">
        <v>54</v>
      </c>
      <c r="O202" t="s">
        <v>65</v>
      </c>
      <c r="P202">
        <v>4</v>
      </c>
    </row>
    <row r="203" spans="1:16" x14ac:dyDescent="0.25">
      <c r="A203" t="str">
        <f t="shared" si="9"/>
        <v>ORD0202</v>
      </c>
      <c r="B203" s="3">
        <v>46155</v>
      </c>
      <c r="C203" t="s">
        <v>94</v>
      </c>
      <c r="D203" t="s">
        <v>52</v>
      </c>
      <c r="E203" t="s">
        <v>16</v>
      </c>
      <c r="F203" t="s">
        <v>17</v>
      </c>
      <c r="G203">
        <v>4</v>
      </c>
      <c r="H203" s="10">
        <f>_xlfn.XLOOKUP(E203,Table18[Product],Table18[Unit_Price])</f>
        <v>120</v>
      </c>
      <c r="I203" s="10">
        <f>_xlfn.XLOOKUP(E203,Table18[Product],Table18[Cost_Price])</f>
        <v>60</v>
      </c>
      <c r="J203" s="10">
        <v>16</v>
      </c>
      <c r="K203" s="10">
        <f t="shared" si="10"/>
        <v>464</v>
      </c>
      <c r="L203" s="10">
        <f t="shared" si="11"/>
        <v>224</v>
      </c>
      <c r="M203" t="s">
        <v>53</v>
      </c>
      <c r="N203" t="s">
        <v>58</v>
      </c>
      <c r="O203" t="s">
        <v>51</v>
      </c>
      <c r="P203">
        <v>4</v>
      </c>
    </row>
    <row r="204" spans="1:16" x14ac:dyDescent="0.25">
      <c r="A204" t="str">
        <f t="shared" si="9"/>
        <v>ORD0203</v>
      </c>
      <c r="B204" s="3">
        <v>46228</v>
      </c>
      <c r="C204" t="s">
        <v>102</v>
      </c>
      <c r="D204" t="s">
        <v>60</v>
      </c>
      <c r="E204" t="s">
        <v>42</v>
      </c>
      <c r="F204" t="s">
        <v>40</v>
      </c>
      <c r="G204">
        <v>2</v>
      </c>
      <c r="H204" s="10">
        <f>_xlfn.XLOOKUP(E204,Table18[Product],Table18[Unit_Price])</f>
        <v>80</v>
      </c>
      <c r="I204" s="10">
        <f>_xlfn.XLOOKUP(E204,Table18[Product],Table18[Cost_Price])</f>
        <v>40</v>
      </c>
      <c r="J204" s="10">
        <v>33</v>
      </c>
      <c r="K204" s="10">
        <f t="shared" si="10"/>
        <v>127</v>
      </c>
      <c r="L204" s="10">
        <f t="shared" si="11"/>
        <v>47</v>
      </c>
      <c r="M204" t="s">
        <v>49</v>
      </c>
      <c r="N204" t="s">
        <v>50</v>
      </c>
      <c r="O204" t="s">
        <v>71</v>
      </c>
      <c r="P204">
        <v>3</v>
      </c>
    </row>
    <row r="205" spans="1:16" x14ac:dyDescent="0.25">
      <c r="A205" t="str">
        <f t="shared" si="9"/>
        <v>ORD0204</v>
      </c>
      <c r="B205" s="3">
        <v>46312</v>
      </c>
      <c r="C205" t="s">
        <v>98</v>
      </c>
      <c r="D205" t="s">
        <v>48</v>
      </c>
      <c r="E205" t="s">
        <v>22</v>
      </c>
      <c r="F205" t="s">
        <v>23</v>
      </c>
      <c r="G205">
        <v>3</v>
      </c>
      <c r="H205" s="10">
        <f>_xlfn.XLOOKUP(E205,Table18[Product],Table18[Unit_Price])</f>
        <v>190</v>
      </c>
      <c r="I205" s="10">
        <f>_xlfn.XLOOKUP(E205,Table18[Product],Table18[Cost_Price])</f>
        <v>95</v>
      </c>
      <c r="J205" s="10">
        <v>33</v>
      </c>
      <c r="K205" s="10">
        <f t="shared" si="10"/>
        <v>537</v>
      </c>
      <c r="L205" s="10">
        <f t="shared" si="11"/>
        <v>252</v>
      </c>
      <c r="M205" t="s">
        <v>61</v>
      </c>
      <c r="N205" t="s">
        <v>54</v>
      </c>
      <c r="O205" t="s">
        <v>62</v>
      </c>
      <c r="P205">
        <v>5</v>
      </c>
    </row>
    <row r="206" spans="1:16" x14ac:dyDescent="0.25">
      <c r="A206" t="str">
        <f t="shared" si="9"/>
        <v>ORD0205</v>
      </c>
      <c r="B206" s="3">
        <v>46162</v>
      </c>
      <c r="C206" t="s">
        <v>100</v>
      </c>
      <c r="D206" t="s">
        <v>66</v>
      </c>
      <c r="E206" t="s">
        <v>41</v>
      </c>
      <c r="F206" t="s">
        <v>40</v>
      </c>
      <c r="G206">
        <v>4</v>
      </c>
      <c r="H206" s="10">
        <f>_xlfn.XLOOKUP(E206,Table18[Product],Table18[Unit_Price])</f>
        <v>100</v>
      </c>
      <c r="I206" s="10">
        <f>_xlfn.XLOOKUP(E206,Table18[Product],Table18[Cost_Price])</f>
        <v>50</v>
      </c>
      <c r="J206" s="10">
        <v>47</v>
      </c>
      <c r="K206" s="10">
        <f t="shared" si="10"/>
        <v>353</v>
      </c>
      <c r="L206" s="10">
        <f t="shared" si="11"/>
        <v>153</v>
      </c>
      <c r="M206" t="s">
        <v>61</v>
      </c>
      <c r="N206" t="s">
        <v>54</v>
      </c>
      <c r="O206" t="s">
        <v>67</v>
      </c>
      <c r="P206">
        <v>4</v>
      </c>
    </row>
    <row r="207" spans="1:16" x14ac:dyDescent="0.25">
      <c r="A207" t="str">
        <f t="shared" si="9"/>
        <v>ORD0206</v>
      </c>
      <c r="B207" s="3">
        <v>46147</v>
      </c>
      <c r="C207" t="s">
        <v>82</v>
      </c>
      <c r="D207" t="s">
        <v>66</v>
      </c>
      <c r="E207" t="s">
        <v>29</v>
      </c>
      <c r="F207" t="s">
        <v>28</v>
      </c>
      <c r="G207">
        <v>5</v>
      </c>
      <c r="H207" s="10">
        <f>_xlfn.XLOOKUP(E207,Table18[Product],Table18[Unit_Price])</f>
        <v>120</v>
      </c>
      <c r="I207" s="10">
        <f>_xlfn.XLOOKUP(E207,Table18[Product],Table18[Cost_Price])</f>
        <v>60</v>
      </c>
      <c r="J207" s="10">
        <v>9</v>
      </c>
      <c r="K207" s="10">
        <f t="shared" si="10"/>
        <v>591</v>
      </c>
      <c r="L207" s="10">
        <f t="shared" si="11"/>
        <v>291</v>
      </c>
      <c r="M207" t="s">
        <v>57</v>
      </c>
      <c r="N207" t="s">
        <v>58</v>
      </c>
      <c r="O207" t="s">
        <v>59</v>
      </c>
      <c r="P207">
        <v>4</v>
      </c>
    </row>
    <row r="208" spans="1:16" x14ac:dyDescent="0.25">
      <c r="A208" t="str">
        <f t="shared" si="9"/>
        <v>ORD0207</v>
      </c>
      <c r="B208" s="3">
        <v>46155</v>
      </c>
      <c r="C208" t="s">
        <v>79</v>
      </c>
      <c r="D208" t="s">
        <v>74</v>
      </c>
      <c r="E208" t="s">
        <v>37</v>
      </c>
      <c r="F208" t="s">
        <v>35</v>
      </c>
      <c r="G208">
        <v>1</v>
      </c>
      <c r="H208" s="10">
        <f>_xlfn.XLOOKUP(E208,Table18[Product],Table18[Unit_Price])</f>
        <v>160</v>
      </c>
      <c r="I208" s="10">
        <f>_xlfn.XLOOKUP(E208,Table18[Product],Table18[Cost_Price])</f>
        <v>80</v>
      </c>
      <c r="J208" s="10">
        <v>31</v>
      </c>
      <c r="K208" s="10">
        <f t="shared" si="10"/>
        <v>129</v>
      </c>
      <c r="L208" s="10">
        <f t="shared" si="11"/>
        <v>49</v>
      </c>
      <c r="M208" t="s">
        <v>61</v>
      </c>
      <c r="N208" t="s">
        <v>58</v>
      </c>
      <c r="O208" t="s">
        <v>55</v>
      </c>
      <c r="P208">
        <v>3</v>
      </c>
    </row>
    <row r="209" spans="1:16" x14ac:dyDescent="0.25">
      <c r="A209" t="str">
        <f t="shared" si="9"/>
        <v>ORD0208</v>
      </c>
      <c r="B209" s="3">
        <v>46068</v>
      </c>
      <c r="C209" t="s">
        <v>97</v>
      </c>
      <c r="D209" t="s">
        <v>52</v>
      </c>
      <c r="E209" t="s">
        <v>42</v>
      </c>
      <c r="F209" t="s">
        <v>40</v>
      </c>
      <c r="G209">
        <v>4</v>
      </c>
      <c r="H209" s="10">
        <f>_xlfn.XLOOKUP(E209,Table18[Product],Table18[Unit_Price])</f>
        <v>80</v>
      </c>
      <c r="I209" s="10">
        <f>_xlfn.XLOOKUP(E209,Table18[Product],Table18[Cost_Price])</f>
        <v>40</v>
      </c>
      <c r="J209" s="10">
        <v>34</v>
      </c>
      <c r="K209" s="10">
        <f t="shared" si="10"/>
        <v>286</v>
      </c>
      <c r="L209" s="10">
        <f t="shared" si="11"/>
        <v>126</v>
      </c>
      <c r="M209" t="s">
        <v>49</v>
      </c>
      <c r="N209" t="s">
        <v>50</v>
      </c>
      <c r="O209" t="s">
        <v>62</v>
      </c>
      <c r="P209">
        <v>5</v>
      </c>
    </row>
    <row r="210" spans="1:16" x14ac:dyDescent="0.25">
      <c r="A210" t="str">
        <f t="shared" si="9"/>
        <v>ORD0209</v>
      </c>
      <c r="B210" s="3">
        <v>46027</v>
      </c>
      <c r="C210" t="s">
        <v>91</v>
      </c>
      <c r="D210" t="s">
        <v>48</v>
      </c>
      <c r="E210" t="s">
        <v>36</v>
      </c>
      <c r="F210" t="s">
        <v>35</v>
      </c>
      <c r="G210">
        <v>5</v>
      </c>
      <c r="H210" s="10">
        <f>_xlfn.XLOOKUP(E210,Table18[Product],Table18[Unit_Price])</f>
        <v>220</v>
      </c>
      <c r="I210" s="10">
        <f>_xlfn.XLOOKUP(E210,Table18[Product],Table18[Cost_Price])</f>
        <v>110</v>
      </c>
      <c r="J210" s="10">
        <v>28</v>
      </c>
      <c r="K210" s="10">
        <f t="shared" si="10"/>
        <v>1072</v>
      </c>
      <c r="L210" s="10">
        <f t="shared" si="11"/>
        <v>522</v>
      </c>
      <c r="M210" t="s">
        <v>61</v>
      </c>
      <c r="N210" t="s">
        <v>50</v>
      </c>
      <c r="O210" t="s">
        <v>59</v>
      </c>
      <c r="P210">
        <v>4</v>
      </c>
    </row>
    <row r="211" spans="1:16" x14ac:dyDescent="0.25">
      <c r="A211" t="str">
        <f t="shared" si="9"/>
        <v>ORD0210</v>
      </c>
      <c r="B211" s="3">
        <v>46185</v>
      </c>
      <c r="C211" t="s">
        <v>87</v>
      </c>
      <c r="D211" t="s">
        <v>52</v>
      </c>
      <c r="E211" t="s">
        <v>16</v>
      </c>
      <c r="F211" t="s">
        <v>17</v>
      </c>
      <c r="G211">
        <v>3</v>
      </c>
      <c r="H211" s="10">
        <f>_xlfn.XLOOKUP(E211,Table18[Product],Table18[Unit_Price])</f>
        <v>120</v>
      </c>
      <c r="I211" s="10">
        <f>_xlfn.XLOOKUP(E211,Table18[Product],Table18[Cost_Price])</f>
        <v>60</v>
      </c>
      <c r="J211" s="10">
        <v>37</v>
      </c>
      <c r="K211" s="10">
        <f t="shared" si="10"/>
        <v>323</v>
      </c>
      <c r="L211" s="10">
        <f t="shared" si="11"/>
        <v>143</v>
      </c>
      <c r="M211" t="s">
        <v>64</v>
      </c>
      <c r="N211" t="s">
        <v>50</v>
      </c>
      <c r="O211" t="s">
        <v>69</v>
      </c>
      <c r="P211">
        <v>4</v>
      </c>
    </row>
    <row r="212" spans="1:16" x14ac:dyDescent="0.25">
      <c r="A212" t="str">
        <f t="shared" si="9"/>
        <v>ORD0211</v>
      </c>
      <c r="B212" s="3">
        <v>46038</v>
      </c>
      <c r="C212" t="s">
        <v>86</v>
      </c>
      <c r="D212" t="s">
        <v>56</v>
      </c>
      <c r="E212" t="s">
        <v>20</v>
      </c>
      <c r="F212" t="s">
        <v>17</v>
      </c>
      <c r="G212">
        <v>1</v>
      </c>
      <c r="H212" s="10">
        <f>_xlfn.XLOOKUP(E212,Table18[Product],Table18[Unit_Price])</f>
        <v>150</v>
      </c>
      <c r="I212" s="10">
        <f>_xlfn.XLOOKUP(E212,Table18[Product],Table18[Cost_Price])</f>
        <v>75</v>
      </c>
      <c r="J212" s="10">
        <v>18</v>
      </c>
      <c r="K212" s="10">
        <f t="shared" si="10"/>
        <v>132</v>
      </c>
      <c r="L212" s="10">
        <f t="shared" si="11"/>
        <v>57</v>
      </c>
      <c r="M212" t="s">
        <v>64</v>
      </c>
      <c r="N212" t="s">
        <v>58</v>
      </c>
      <c r="O212" t="s">
        <v>71</v>
      </c>
      <c r="P212">
        <v>3</v>
      </c>
    </row>
    <row r="213" spans="1:16" x14ac:dyDescent="0.25">
      <c r="A213" t="str">
        <f t="shared" si="9"/>
        <v>ORD0212</v>
      </c>
      <c r="B213" s="3">
        <v>46288</v>
      </c>
      <c r="C213" t="s">
        <v>100</v>
      </c>
      <c r="D213" t="s">
        <v>74</v>
      </c>
      <c r="E213" t="s">
        <v>20</v>
      </c>
      <c r="F213" t="s">
        <v>17</v>
      </c>
      <c r="G213">
        <v>5</v>
      </c>
      <c r="H213" s="10">
        <f>_xlfn.XLOOKUP(E213,Table18[Product],Table18[Unit_Price])</f>
        <v>150</v>
      </c>
      <c r="I213" s="10">
        <f>_xlfn.XLOOKUP(E213,Table18[Product],Table18[Cost_Price])</f>
        <v>75</v>
      </c>
      <c r="J213" s="10">
        <v>18</v>
      </c>
      <c r="K213" s="10">
        <f t="shared" si="10"/>
        <v>732</v>
      </c>
      <c r="L213" s="10">
        <f t="shared" si="11"/>
        <v>357</v>
      </c>
      <c r="M213" t="s">
        <v>49</v>
      </c>
      <c r="N213" t="s">
        <v>58</v>
      </c>
      <c r="O213" t="s">
        <v>73</v>
      </c>
      <c r="P213">
        <v>4</v>
      </c>
    </row>
    <row r="214" spans="1:16" x14ac:dyDescent="0.25">
      <c r="A214" t="str">
        <f t="shared" si="9"/>
        <v>ORD0213</v>
      </c>
      <c r="B214" s="3">
        <v>46269</v>
      </c>
      <c r="C214" t="s">
        <v>99</v>
      </c>
      <c r="D214" t="s">
        <v>52</v>
      </c>
      <c r="E214" t="s">
        <v>22</v>
      </c>
      <c r="F214" t="s">
        <v>23</v>
      </c>
      <c r="G214">
        <v>4</v>
      </c>
      <c r="H214" s="10">
        <f>_xlfn.XLOOKUP(E214,Table18[Product],Table18[Unit_Price])</f>
        <v>190</v>
      </c>
      <c r="I214" s="10">
        <f>_xlfn.XLOOKUP(E214,Table18[Product],Table18[Cost_Price])</f>
        <v>95</v>
      </c>
      <c r="J214" s="10">
        <v>7</v>
      </c>
      <c r="K214" s="10">
        <f t="shared" si="10"/>
        <v>753</v>
      </c>
      <c r="L214" s="10">
        <f t="shared" si="11"/>
        <v>373</v>
      </c>
      <c r="M214" t="s">
        <v>57</v>
      </c>
      <c r="N214" t="s">
        <v>50</v>
      </c>
      <c r="O214" t="s">
        <v>59</v>
      </c>
      <c r="P214">
        <v>3</v>
      </c>
    </row>
    <row r="215" spans="1:16" x14ac:dyDescent="0.25">
      <c r="A215" t="str">
        <f t="shared" si="9"/>
        <v>ORD0214</v>
      </c>
      <c r="B215" s="3">
        <v>46360</v>
      </c>
      <c r="C215" t="s">
        <v>90</v>
      </c>
      <c r="D215" t="s">
        <v>56</v>
      </c>
      <c r="E215" t="s">
        <v>37</v>
      </c>
      <c r="F215" t="s">
        <v>35</v>
      </c>
      <c r="G215">
        <v>5</v>
      </c>
      <c r="H215" s="10">
        <f>_xlfn.XLOOKUP(E215,Table18[Product],Table18[Unit_Price])</f>
        <v>160</v>
      </c>
      <c r="I215" s="10">
        <f>_xlfn.XLOOKUP(E215,Table18[Product],Table18[Cost_Price])</f>
        <v>80</v>
      </c>
      <c r="J215" s="10">
        <v>32</v>
      </c>
      <c r="K215" s="10">
        <f t="shared" si="10"/>
        <v>768</v>
      </c>
      <c r="L215" s="10">
        <f t="shared" si="11"/>
        <v>368</v>
      </c>
      <c r="M215" t="s">
        <v>64</v>
      </c>
      <c r="N215" t="s">
        <v>58</v>
      </c>
      <c r="O215" t="s">
        <v>71</v>
      </c>
      <c r="P215">
        <v>5</v>
      </c>
    </row>
    <row r="216" spans="1:16" x14ac:dyDescent="0.25">
      <c r="A216" t="str">
        <f t="shared" si="9"/>
        <v>ORD0215</v>
      </c>
      <c r="B216" s="3">
        <v>46305</v>
      </c>
      <c r="C216" t="s">
        <v>78</v>
      </c>
      <c r="D216" t="s">
        <v>52</v>
      </c>
      <c r="E216" t="s">
        <v>27</v>
      </c>
      <c r="F216" t="s">
        <v>28</v>
      </c>
      <c r="G216">
        <v>4</v>
      </c>
      <c r="H216" s="10">
        <f>_xlfn.XLOOKUP(E216,Table18[Product],Table18[Unit_Price])</f>
        <v>140</v>
      </c>
      <c r="I216" s="10">
        <f>_xlfn.XLOOKUP(E216,Table18[Product],Table18[Cost_Price])</f>
        <v>70</v>
      </c>
      <c r="J216" s="10">
        <v>4</v>
      </c>
      <c r="K216" s="10">
        <f t="shared" si="10"/>
        <v>556</v>
      </c>
      <c r="L216" s="10">
        <f t="shared" si="11"/>
        <v>276</v>
      </c>
      <c r="M216" t="s">
        <v>49</v>
      </c>
      <c r="N216" t="s">
        <v>54</v>
      </c>
      <c r="O216" t="s">
        <v>73</v>
      </c>
      <c r="P216">
        <v>5</v>
      </c>
    </row>
    <row r="217" spans="1:16" x14ac:dyDescent="0.25">
      <c r="A217" t="str">
        <f t="shared" si="9"/>
        <v>ORD0216</v>
      </c>
      <c r="B217" s="3">
        <v>46229</v>
      </c>
      <c r="C217" t="s">
        <v>82</v>
      </c>
      <c r="D217" t="s">
        <v>60</v>
      </c>
      <c r="E217" t="s">
        <v>24</v>
      </c>
      <c r="F217" t="s">
        <v>23</v>
      </c>
      <c r="G217">
        <v>4</v>
      </c>
      <c r="H217" s="10">
        <f>_xlfn.XLOOKUP(E217,Table18[Product],Table18[Unit_Price])</f>
        <v>210</v>
      </c>
      <c r="I217" s="10">
        <f>_xlfn.XLOOKUP(E217,Table18[Product],Table18[Cost_Price])</f>
        <v>105</v>
      </c>
      <c r="J217" s="10">
        <v>18</v>
      </c>
      <c r="K217" s="10">
        <f t="shared" si="10"/>
        <v>822</v>
      </c>
      <c r="L217" s="10">
        <f t="shared" si="11"/>
        <v>402</v>
      </c>
      <c r="M217" t="s">
        <v>61</v>
      </c>
      <c r="N217" t="s">
        <v>54</v>
      </c>
      <c r="O217" t="s">
        <v>65</v>
      </c>
      <c r="P217">
        <v>5</v>
      </c>
    </row>
    <row r="218" spans="1:16" x14ac:dyDescent="0.25">
      <c r="A218" t="str">
        <f t="shared" si="9"/>
        <v>ORD0217</v>
      </c>
      <c r="B218" s="3">
        <v>46332</v>
      </c>
      <c r="C218" t="s">
        <v>90</v>
      </c>
      <c r="D218" t="s">
        <v>74</v>
      </c>
      <c r="E218" t="s">
        <v>30</v>
      </c>
      <c r="F218" t="s">
        <v>31</v>
      </c>
      <c r="G218">
        <v>1</v>
      </c>
      <c r="H218" s="10">
        <f>_xlfn.XLOOKUP(E218,Table18[Product],Table18[Unit_Price])</f>
        <v>110</v>
      </c>
      <c r="I218" s="10">
        <f>_xlfn.XLOOKUP(E218,Table18[Product],Table18[Cost_Price])</f>
        <v>55</v>
      </c>
      <c r="J218" s="10">
        <v>37</v>
      </c>
      <c r="K218" s="10">
        <f t="shared" si="10"/>
        <v>73</v>
      </c>
      <c r="L218" s="10">
        <f t="shared" si="11"/>
        <v>18</v>
      </c>
      <c r="M218" t="s">
        <v>57</v>
      </c>
      <c r="N218" t="s">
        <v>54</v>
      </c>
      <c r="O218" t="s">
        <v>62</v>
      </c>
      <c r="P218">
        <v>5</v>
      </c>
    </row>
    <row r="219" spans="1:16" x14ac:dyDescent="0.25">
      <c r="A219" t="str">
        <f t="shared" si="9"/>
        <v>ORD0218</v>
      </c>
      <c r="B219" s="3">
        <v>46135</v>
      </c>
      <c r="C219" t="s">
        <v>84</v>
      </c>
      <c r="D219" t="s">
        <v>63</v>
      </c>
      <c r="E219" t="s">
        <v>37</v>
      </c>
      <c r="F219" t="s">
        <v>35</v>
      </c>
      <c r="G219">
        <v>4</v>
      </c>
      <c r="H219" s="10">
        <f>_xlfn.XLOOKUP(E219,Table18[Product],Table18[Unit_Price])</f>
        <v>160</v>
      </c>
      <c r="I219" s="10">
        <f>_xlfn.XLOOKUP(E219,Table18[Product],Table18[Cost_Price])</f>
        <v>80</v>
      </c>
      <c r="J219" s="10">
        <v>45</v>
      </c>
      <c r="K219" s="10">
        <f t="shared" si="10"/>
        <v>595</v>
      </c>
      <c r="L219" s="10">
        <f t="shared" si="11"/>
        <v>275</v>
      </c>
      <c r="M219" t="s">
        <v>57</v>
      </c>
      <c r="N219" t="s">
        <v>58</v>
      </c>
      <c r="O219" t="s">
        <v>71</v>
      </c>
      <c r="P219">
        <v>3</v>
      </c>
    </row>
    <row r="220" spans="1:16" x14ac:dyDescent="0.25">
      <c r="A220" t="str">
        <f t="shared" si="9"/>
        <v>ORD0219</v>
      </c>
      <c r="B220" s="3">
        <v>46122</v>
      </c>
      <c r="C220" t="s">
        <v>101</v>
      </c>
      <c r="D220" t="s">
        <v>66</v>
      </c>
      <c r="E220" t="s">
        <v>33</v>
      </c>
      <c r="F220" t="s">
        <v>31</v>
      </c>
      <c r="G220">
        <v>1</v>
      </c>
      <c r="H220" s="10">
        <f>_xlfn.XLOOKUP(E220,Table18[Product],Table18[Unit_Price])</f>
        <v>150</v>
      </c>
      <c r="I220" s="10">
        <f>_xlfn.XLOOKUP(E220,Table18[Product],Table18[Cost_Price])</f>
        <v>75</v>
      </c>
      <c r="J220" s="10">
        <v>25</v>
      </c>
      <c r="K220" s="10">
        <f t="shared" si="10"/>
        <v>125</v>
      </c>
      <c r="L220" s="10">
        <f t="shared" si="11"/>
        <v>50</v>
      </c>
      <c r="M220" t="s">
        <v>53</v>
      </c>
      <c r="N220" t="s">
        <v>50</v>
      </c>
      <c r="O220" t="s">
        <v>75</v>
      </c>
      <c r="P220">
        <v>5</v>
      </c>
    </row>
    <row r="221" spans="1:16" x14ac:dyDescent="0.25">
      <c r="A221" t="str">
        <f t="shared" si="9"/>
        <v>ORD0220</v>
      </c>
      <c r="B221" s="3">
        <v>46246</v>
      </c>
      <c r="C221" t="s">
        <v>105</v>
      </c>
      <c r="D221" t="s">
        <v>60</v>
      </c>
      <c r="E221" t="s">
        <v>33</v>
      </c>
      <c r="F221" t="s">
        <v>31</v>
      </c>
      <c r="G221">
        <v>5</v>
      </c>
      <c r="H221" s="10">
        <f>_xlfn.XLOOKUP(E221,Table18[Product],Table18[Unit_Price])</f>
        <v>150</v>
      </c>
      <c r="I221" s="10">
        <f>_xlfn.XLOOKUP(E221,Table18[Product],Table18[Cost_Price])</f>
        <v>75</v>
      </c>
      <c r="J221" s="10">
        <v>16</v>
      </c>
      <c r="K221" s="10">
        <f t="shared" si="10"/>
        <v>734</v>
      </c>
      <c r="L221" s="10">
        <f t="shared" si="11"/>
        <v>359</v>
      </c>
      <c r="M221" t="s">
        <v>64</v>
      </c>
      <c r="N221" t="s">
        <v>58</v>
      </c>
      <c r="O221" t="s">
        <v>65</v>
      </c>
      <c r="P221">
        <v>4</v>
      </c>
    </row>
    <row r="222" spans="1:16" x14ac:dyDescent="0.25">
      <c r="A222" t="str">
        <f t="shared" si="9"/>
        <v>ORD0221</v>
      </c>
      <c r="B222" s="3">
        <v>46054</v>
      </c>
      <c r="C222" t="s">
        <v>89</v>
      </c>
      <c r="D222" t="s">
        <v>70</v>
      </c>
      <c r="E222" t="s">
        <v>36</v>
      </c>
      <c r="F222" t="s">
        <v>35</v>
      </c>
      <c r="G222">
        <v>2</v>
      </c>
      <c r="H222" s="10">
        <f>_xlfn.XLOOKUP(E222,Table18[Product],Table18[Unit_Price])</f>
        <v>220</v>
      </c>
      <c r="I222" s="10">
        <f>_xlfn.XLOOKUP(E222,Table18[Product],Table18[Cost_Price])</f>
        <v>110</v>
      </c>
      <c r="J222" s="10">
        <v>41</v>
      </c>
      <c r="K222" s="10">
        <f t="shared" si="10"/>
        <v>399</v>
      </c>
      <c r="L222" s="10">
        <f t="shared" si="11"/>
        <v>179</v>
      </c>
      <c r="M222" t="s">
        <v>49</v>
      </c>
      <c r="N222" t="s">
        <v>58</v>
      </c>
      <c r="O222" t="s">
        <v>69</v>
      </c>
      <c r="P222">
        <v>3</v>
      </c>
    </row>
    <row r="223" spans="1:16" x14ac:dyDescent="0.25">
      <c r="A223" t="str">
        <f t="shared" si="9"/>
        <v>ORD0222</v>
      </c>
      <c r="B223" s="3">
        <v>46383</v>
      </c>
      <c r="C223" t="s">
        <v>101</v>
      </c>
      <c r="D223" t="s">
        <v>63</v>
      </c>
      <c r="E223" t="s">
        <v>19</v>
      </c>
      <c r="F223" t="s">
        <v>17</v>
      </c>
      <c r="G223">
        <v>1</v>
      </c>
      <c r="H223" s="10">
        <f>_xlfn.XLOOKUP(E223,Table18[Product],Table18[Unit_Price])</f>
        <v>200</v>
      </c>
      <c r="I223" s="10">
        <f>_xlfn.XLOOKUP(E223,Table18[Product],Table18[Cost_Price])</f>
        <v>100</v>
      </c>
      <c r="J223" s="10">
        <v>30</v>
      </c>
      <c r="K223" s="10">
        <f t="shared" si="10"/>
        <v>170</v>
      </c>
      <c r="L223" s="10">
        <f t="shared" si="11"/>
        <v>70</v>
      </c>
      <c r="M223" t="s">
        <v>49</v>
      </c>
      <c r="N223" t="s">
        <v>50</v>
      </c>
      <c r="O223" t="s">
        <v>73</v>
      </c>
      <c r="P223">
        <v>4</v>
      </c>
    </row>
    <row r="224" spans="1:16" x14ac:dyDescent="0.25">
      <c r="A224" t="str">
        <f t="shared" si="9"/>
        <v>ORD0223</v>
      </c>
      <c r="B224" s="3">
        <v>46317</v>
      </c>
      <c r="C224" t="s">
        <v>85</v>
      </c>
      <c r="D224" t="s">
        <v>63</v>
      </c>
      <c r="E224" t="s">
        <v>34</v>
      </c>
      <c r="F224" t="s">
        <v>35</v>
      </c>
      <c r="G224">
        <v>1</v>
      </c>
      <c r="H224" s="10">
        <f>_xlfn.XLOOKUP(E224,Table18[Product],Table18[Unit_Price])</f>
        <v>180</v>
      </c>
      <c r="I224" s="10">
        <f>_xlfn.XLOOKUP(E224,Table18[Product],Table18[Cost_Price])</f>
        <v>90</v>
      </c>
      <c r="J224" s="10">
        <v>8</v>
      </c>
      <c r="K224" s="10">
        <f t="shared" si="10"/>
        <v>172</v>
      </c>
      <c r="L224" s="10">
        <f t="shared" si="11"/>
        <v>82</v>
      </c>
      <c r="M224" t="s">
        <v>57</v>
      </c>
      <c r="N224" t="s">
        <v>50</v>
      </c>
      <c r="O224" t="s">
        <v>73</v>
      </c>
      <c r="P224">
        <v>3</v>
      </c>
    </row>
    <row r="225" spans="1:16" x14ac:dyDescent="0.25">
      <c r="A225" t="str">
        <f t="shared" si="9"/>
        <v>ORD0224</v>
      </c>
      <c r="B225" s="3">
        <v>46196</v>
      </c>
      <c r="C225" t="s">
        <v>88</v>
      </c>
      <c r="D225" t="s">
        <v>74</v>
      </c>
      <c r="E225" t="s">
        <v>33</v>
      </c>
      <c r="F225" t="s">
        <v>31</v>
      </c>
      <c r="G225">
        <v>5</v>
      </c>
      <c r="H225" s="10">
        <f>_xlfn.XLOOKUP(E225,Table18[Product],Table18[Unit_Price])</f>
        <v>150</v>
      </c>
      <c r="I225" s="10">
        <f>_xlfn.XLOOKUP(E225,Table18[Product],Table18[Cost_Price])</f>
        <v>75</v>
      </c>
      <c r="J225" s="10">
        <v>8</v>
      </c>
      <c r="K225" s="10">
        <f t="shared" si="10"/>
        <v>742</v>
      </c>
      <c r="L225" s="10">
        <f t="shared" si="11"/>
        <v>367</v>
      </c>
      <c r="M225" t="s">
        <v>61</v>
      </c>
      <c r="N225" t="s">
        <v>58</v>
      </c>
      <c r="O225" t="s">
        <v>62</v>
      </c>
      <c r="P225">
        <v>3</v>
      </c>
    </row>
    <row r="226" spans="1:16" x14ac:dyDescent="0.25">
      <c r="A226" t="str">
        <f t="shared" si="9"/>
        <v>ORD0225</v>
      </c>
      <c r="B226" s="3">
        <v>46133</v>
      </c>
      <c r="C226" t="s">
        <v>98</v>
      </c>
      <c r="D226" t="s">
        <v>63</v>
      </c>
      <c r="E226" t="s">
        <v>16</v>
      </c>
      <c r="F226" t="s">
        <v>17</v>
      </c>
      <c r="G226">
        <v>4</v>
      </c>
      <c r="H226" s="10">
        <f>_xlfn.XLOOKUP(E226,Table18[Product],Table18[Unit_Price])</f>
        <v>120</v>
      </c>
      <c r="I226" s="10">
        <f>_xlfn.XLOOKUP(E226,Table18[Product],Table18[Cost_Price])</f>
        <v>60</v>
      </c>
      <c r="J226" s="10">
        <v>32</v>
      </c>
      <c r="K226" s="10">
        <f t="shared" si="10"/>
        <v>448</v>
      </c>
      <c r="L226" s="10">
        <f t="shared" si="11"/>
        <v>208</v>
      </c>
      <c r="M226" t="s">
        <v>64</v>
      </c>
      <c r="N226" t="s">
        <v>50</v>
      </c>
      <c r="O226" t="s">
        <v>73</v>
      </c>
      <c r="P226">
        <v>4</v>
      </c>
    </row>
    <row r="227" spans="1:16" x14ac:dyDescent="0.25">
      <c r="A227" t="str">
        <f t="shared" si="9"/>
        <v>ORD0226</v>
      </c>
      <c r="B227" s="3">
        <v>46240</v>
      </c>
      <c r="C227" t="s">
        <v>81</v>
      </c>
      <c r="D227" t="s">
        <v>56</v>
      </c>
      <c r="E227" t="s">
        <v>22</v>
      </c>
      <c r="F227" t="s">
        <v>23</v>
      </c>
      <c r="G227">
        <v>4</v>
      </c>
      <c r="H227" s="10">
        <f>_xlfn.XLOOKUP(E227,Table18[Product],Table18[Unit_Price])</f>
        <v>190</v>
      </c>
      <c r="I227" s="10">
        <f>_xlfn.XLOOKUP(E227,Table18[Product],Table18[Cost_Price])</f>
        <v>95</v>
      </c>
      <c r="J227" s="10">
        <v>30</v>
      </c>
      <c r="K227" s="10">
        <f t="shared" si="10"/>
        <v>730</v>
      </c>
      <c r="L227" s="10">
        <f t="shared" si="11"/>
        <v>350</v>
      </c>
      <c r="M227" t="s">
        <v>49</v>
      </c>
      <c r="N227" t="s">
        <v>50</v>
      </c>
      <c r="O227" t="s">
        <v>65</v>
      </c>
      <c r="P227">
        <v>3</v>
      </c>
    </row>
    <row r="228" spans="1:16" x14ac:dyDescent="0.25">
      <c r="A228" t="str">
        <f t="shared" si="9"/>
        <v>ORD0227</v>
      </c>
      <c r="B228" s="3">
        <v>46066</v>
      </c>
      <c r="C228" t="s">
        <v>79</v>
      </c>
      <c r="D228" t="s">
        <v>52</v>
      </c>
      <c r="E228" t="s">
        <v>36</v>
      </c>
      <c r="F228" t="s">
        <v>35</v>
      </c>
      <c r="G228">
        <v>1</v>
      </c>
      <c r="H228" s="10">
        <f>_xlfn.XLOOKUP(E228,Table18[Product],Table18[Unit_Price])</f>
        <v>220</v>
      </c>
      <c r="I228" s="10">
        <f>_xlfn.XLOOKUP(E228,Table18[Product],Table18[Cost_Price])</f>
        <v>110</v>
      </c>
      <c r="J228" s="10">
        <v>7</v>
      </c>
      <c r="K228" s="10">
        <f t="shared" si="10"/>
        <v>213</v>
      </c>
      <c r="L228" s="10">
        <f t="shared" si="11"/>
        <v>103</v>
      </c>
      <c r="M228" t="s">
        <v>49</v>
      </c>
      <c r="N228" t="s">
        <v>50</v>
      </c>
      <c r="O228" t="s">
        <v>51</v>
      </c>
      <c r="P228">
        <v>3</v>
      </c>
    </row>
    <row r="229" spans="1:16" x14ac:dyDescent="0.25">
      <c r="A229" t="str">
        <f t="shared" si="9"/>
        <v>ORD0228</v>
      </c>
      <c r="B229" s="3">
        <v>46333</v>
      </c>
      <c r="C229" t="s">
        <v>80</v>
      </c>
      <c r="D229" t="s">
        <v>48</v>
      </c>
      <c r="E229" t="s">
        <v>38</v>
      </c>
      <c r="F229" t="s">
        <v>35</v>
      </c>
      <c r="G229">
        <v>4</v>
      </c>
      <c r="H229" s="10">
        <f>_xlfn.XLOOKUP(E229,Table18[Product],Table18[Unit_Price])</f>
        <v>170</v>
      </c>
      <c r="I229" s="10">
        <f>_xlfn.XLOOKUP(E229,Table18[Product],Table18[Cost_Price])</f>
        <v>85</v>
      </c>
      <c r="J229" s="10">
        <v>39</v>
      </c>
      <c r="K229" s="10">
        <f t="shared" si="10"/>
        <v>641</v>
      </c>
      <c r="L229" s="10">
        <f t="shared" si="11"/>
        <v>301</v>
      </c>
      <c r="M229" t="s">
        <v>57</v>
      </c>
      <c r="N229" t="s">
        <v>58</v>
      </c>
      <c r="O229" t="s">
        <v>65</v>
      </c>
      <c r="P229">
        <v>3</v>
      </c>
    </row>
    <row r="230" spans="1:16" x14ac:dyDescent="0.25">
      <c r="A230" t="str">
        <f t="shared" si="9"/>
        <v>ORD0229</v>
      </c>
      <c r="B230" s="3">
        <v>46242</v>
      </c>
      <c r="C230" t="s">
        <v>84</v>
      </c>
      <c r="D230" t="s">
        <v>70</v>
      </c>
      <c r="E230" t="s">
        <v>41</v>
      </c>
      <c r="F230" t="s">
        <v>40</v>
      </c>
      <c r="G230">
        <v>5</v>
      </c>
      <c r="H230" s="10">
        <f>_xlfn.XLOOKUP(E230,Table18[Product],Table18[Unit_Price])</f>
        <v>100</v>
      </c>
      <c r="I230" s="10">
        <f>_xlfn.XLOOKUP(E230,Table18[Product],Table18[Cost_Price])</f>
        <v>50</v>
      </c>
      <c r="J230" s="10">
        <v>43</v>
      </c>
      <c r="K230" s="10">
        <f t="shared" si="10"/>
        <v>457</v>
      </c>
      <c r="L230" s="10">
        <f t="shared" si="11"/>
        <v>207</v>
      </c>
      <c r="M230" t="s">
        <v>49</v>
      </c>
      <c r="N230" t="s">
        <v>58</v>
      </c>
      <c r="O230" t="s">
        <v>71</v>
      </c>
      <c r="P230">
        <v>4</v>
      </c>
    </row>
    <row r="231" spans="1:16" x14ac:dyDescent="0.25">
      <c r="A231" t="str">
        <f t="shared" si="9"/>
        <v>ORD0230</v>
      </c>
      <c r="B231" s="3">
        <v>46195</v>
      </c>
      <c r="C231" t="s">
        <v>95</v>
      </c>
      <c r="D231" t="s">
        <v>63</v>
      </c>
      <c r="E231" t="s">
        <v>38</v>
      </c>
      <c r="F231" t="s">
        <v>35</v>
      </c>
      <c r="G231">
        <v>5</v>
      </c>
      <c r="H231" s="10">
        <f>_xlfn.XLOOKUP(E231,Table18[Product],Table18[Unit_Price])</f>
        <v>170</v>
      </c>
      <c r="I231" s="10">
        <f>_xlfn.XLOOKUP(E231,Table18[Product],Table18[Cost_Price])</f>
        <v>85</v>
      </c>
      <c r="J231" s="10">
        <v>50</v>
      </c>
      <c r="K231" s="10">
        <f t="shared" si="10"/>
        <v>800</v>
      </c>
      <c r="L231" s="10">
        <f t="shared" si="11"/>
        <v>375</v>
      </c>
      <c r="M231" t="s">
        <v>49</v>
      </c>
      <c r="N231" t="s">
        <v>50</v>
      </c>
      <c r="O231" t="s">
        <v>55</v>
      </c>
      <c r="P231">
        <v>4</v>
      </c>
    </row>
    <row r="232" spans="1:16" x14ac:dyDescent="0.25">
      <c r="A232" t="str">
        <f t="shared" si="9"/>
        <v>ORD0231</v>
      </c>
      <c r="B232" s="3">
        <v>46260</v>
      </c>
      <c r="C232" t="s">
        <v>80</v>
      </c>
      <c r="D232" t="s">
        <v>74</v>
      </c>
      <c r="E232" t="s">
        <v>18</v>
      </c>
      <c r="F232" t="s">
        <v>17</v>
      </c>
      <c r="G232">
        <v>1</v>
      </c>
      <c r="H232" s="10">
        <f>_xlfn.XLOOKUP(E232,Table18[Product],Table18[Unit_Price])</f>
        <v>180</v>
      </c>
      <c r="I232" s="10">
        <f>_xlfn.XLOOKUP(E232,Table18[Product],Table18[Cost_Price])</f>
        <v>90</v>
      </c>
      <c r="J232" s="10">
        <v>20</v>
      </c>
      <c r="K232" s="10">
        <f t="shared" si="10"/>
        <v>160</v>
      </c>
      <c r="L232" s="10">
        <f t="shared" si="11"/>
        <v>70</v>
      </c>
      <c r="M232" t="s">
        <v>64</v>
      </c>
      <c r="N232" t="s">
        <v>54</v>
      </c>
      <c r="O232" t="s">
        <v>65</v>
      </c>
      <c r="P232">
        <v>3</v>
      </c>
    </row>
    <row r="233" spans="1:16" x14ac:dyDescent="0.25">
      <c r="A233" t="str">
        <f t="shared" si="9"/>
        <v>ORD0232</v>
      </c>
      <c r="B233" s="3">
        <v>46223</v>
      </c>
      <c r="C233" t="s">
        <v>95</v>
      </c>
      <c r="D233" t="s">
        <v>63</v>
      </c>
      <c r="E233" t="s">
        <v>27</v>
      </c>
      <c r="F233" t="s">
        <v>28</v>
      </c>
      <c r="G233">
        <v>5</v>
      </c>
      <c r="H233" s="10">
        <f>_xlfn.XLOOKUP(E233,Table18[Product],Table18[Unit_Price])</f>
        <v>140</v>
      </c>
      <c r="I233" s="10">
        <f>_xlfn.XLOOKUP(E233,Table18[Product],Table18[Cost_Price])</f>
        <v>70</v>
      </c>
      <c r="J233" s="10">
        <v>46</v>
      </c>
      <c r="K233" s="10">
        <f t="shared" si="10"/>
        <v>654</v>
      </c>
      <c r="L233" s="10">
        <f t="shared" si="11"/>
        <v>304</v>
      </c>
      <c r="M233" t="s">
        <v>61</v>
      </c>
      <c r="N233" t="s">
        <v>58</v>
      </c>
      <c r="O233" t="s">
        <v>75</v>
      </c>
      <c r="P233">
        <v>5</v>
      </c>
    </row>
    <row r="234" spans="1:16" x14ac:dyDescent="0.25">
      <c r="A234" t="str">
        <f t="shared" si="9"/>
        <v>ORD0233</v>
      </c>
      <c r="B234" s="3">
        <v>46360</v>
      </c>
      <c r="C234" t="s">
        <v>85</v>
      </c>
      <c r="D234" t="s">
        <v>60</v>
      </c>
      <c r="E234" t="s">
        <v>33</v>
      </c>
      <c r="F234" t="s">
        <v>31</v>
      </c>
      <c r="G234">
        <v>5</v>
      </c>
      <c r="H234" s="10">
        <f>_xlfn.XLOOKUP(E234,Table18[Product],Table18[Unit_Price])</f>
        <v>150</v>
      </c>
      <c r="I234" s="10">
        <f>_xlfn.XLOOKUP(E234,Table18[Product],Table18[Cost_Price])</f>
        <v>75</v>
      </c>
      <c r="J234" s="10">
        <v>20</v>
      </c>
      <c r="K234" s="10">
        <f t="shared" si="10"/>
        <v>730</v>
      </c>
      <c r="L234" s="10">
        <f t="shared" si="11"/>
        <v>355</v>
      </c>
      <c r="M234" t="s">
        <v>49</v>
      </c>
      <c r="N234" t="s">
        <v>50</v>
      </c>
      <c r="O234" t="s">
        <v>71</v>
      </c>
      <c r="P234">
        <v>4</v>
      </c>
    </row>
    <row r="235" spans="1:16" x14ac:dyDescent="0.25">
      <c r="A235" t="str">
        <f t="shared" si="9"/>
        <v>ORD0234</v>
      </c>
      <c r="B235" s="3">
        <v>46075</v>
      </c>
      <c r="C235" t="s">
        <v>97</v>
      </c>
      <c r="D235" t="s">
        <v>70</v>
      </c>
      <c r="E235" t="s">
        <v>37</v>
      </c>
      <c r="F235" t="s">
        <v>35</v>
      </c>
      <c r="G235">
        <v>1</v>
      </c>
      <c r="H235" s="10">
        <f>_xlfn.XLOOKUP(E235,Table18[Product],Table18[Unit_Price])</f>
        <v>160</v>
      </c>
      <c r="I235" s="10">
        <f>_xlfn.XLOOKUP(E235,Table18[Product],Table18[Cost_Price])</f>
        <v>80</v>
      </c>
      <c r="J235" s="10">
        <v>27</v>
      </c>
      <c r="K235" s="10">
        <f t="shared" si="10"/>
        <v>133</v>
      </c>
      <c r="L235" s="10">
        <f t="shared" si="11"/>
        <v>53</v>
      </c>
      <c r="M235" t="s">
        <v>53</v>
      </c>
      <c r="N235" t="s">
        <v>54</v>
      </c>
      <c r="O235" t="s">
        <v>71</v>
      </c>
      <c r="P235">
        <v>5</v>
      </c>
    </row>
    <row r="236" spans="1:16" x14ac:dyDescent="0.25">
      <c r="A236" t="str">
        <f t="shared" si="9"/>
        <v>ORD0235</v>
      </c>
      <c r="B236" s="3">
        <v>46289</v>
      </c>
      <c r="C236" t="s">
        <v>83</v>
      </c>
      <c r="D236" t="s">
        <v>70</v>
      </c>
      <c r="E236" t="s">
        <v>25</v>
      </c>
      <c r="F236" t="s">
        <v>26</v>
      </c>
      <c r="G236">
        <v>1</v>
      </c>
      <c r="H236" s="10">
        <f>_xlfn.XLOOKUP(E236,Table18[Product],Table18[Unit_Price])</f>
        <v>170</v>
      </c>
      <c r="I236" s="10">
        <f>_xlfn.XLOOKUP(E236,Table18[Product],Table18[Cost_Price])</f>
        <v>85</v>
      </c>
      <c r="J236" s="10">
        <v>10</v>
      </c>
      <c r="K236" s="10">
        <f t="shared" si="10"/>
        <v>160</v>
      </c>
      <c r="L236" s="10">
        <f t="shared" si="11"/>
        <v>75</v>
      </c>
      <c r="M236" t="s">
        <v>61</v>
      </c>
      <c r="N236" t="s">
        <v>50</v>
      </c>
      <c r="O236" t="s">
        <v>65</v>
      </c>
      <c r="P236">
        <v>5</v>
      </c>
    </row>
    <row r="237" spans="1:16" x14ac:dyDescent="0.25">
      <c r="A237" t="str">
        <f t="shared" si="9"/>
        <v>ORD0236</v>
      </c>
      <c r="B237" s="3">
        <v>46299</v>
      </c>
      <c r="C237" t="s">
        <v>102</v>
      </c>
      <c r="D237" t="s">
        <v>72</v>
      </c>
      <c r="E237" t="s">
        <v>16</v>
      </c>
      <c r="F237" t="s">
        <v>17</v>
      </c>
      <c r="G237">
        <v>5</v>
      </c>
      <c r="H237" s="10">
        <f>_xlfn.XLOOKUP(E237,Table18[Product],Table18[Unit_Price])</f>
        <v>120</v>
      </c>
      <c r="I237" s="10">
        <f>_xlfn.XLOOKUP(E237,Table18[Product],Table18[Cost_Price])</f>
        <v>60</v>
      </c>
      <c r="J237" s="10">
        <v>15</v>
      </c>
      <c r="K237" s="10">
        <f t="shared" si="10"/>
        <v>585</v>
      </c>
      <c r="L237" s="10">
        <f t="shared" si="11"/>
        <v>285</v>
      </c>
      <c r="M237" t="s">
        <v>64</v>
      </c>
      <c r="N237" t="s">
        <v>50</v>
      </c>
      <c r="O237" t="s">
        <v>55</v>
      </c>
      <c r="P237">
        <v>3</v>
      </c>
    </row>
    <row r="238" spans="1:16" x14ac:dyDescent="0.25">
      <c r="A238" t="str">
        <f t="shared" si="9"/>
        <v>ORD0237</v>
      </c>
      <c r="B238" s="3">
        <v>46384</v>
      </c>
      <c r="C238" t="s">
        <v>79</v>
      </c>
      <c r="D238" t="s">
        <v>56</v>
      </c>
      <c r="E238" t="s">
        <v>22</v>
      </c>
      <c r="F238" t="s">
        <v>23</v>
      </c>
      <c r="G238">
        <v>5</v>
      </c>
      <c r="H238" s="10">
        <f>_xlfn.XLOOKUP(E238,Table18[Product],Table18[Unit_Price])</f>
        <v>190</v>
      </c>
      <c r="I238" s="10">
        <f>_xlfn.XLOOKUP(E238,Table18[Product],Table18[Cost_Price])</f>
        <v>95</v>
      </c>
      <c r="J238" s="10">
        <v>46</v>
      </c>
      <c r="K238" s="10">
        <f t="shared" si="10"/>
        <v>904</v>
      </c>
      <c r="L238" s="10">
        <f t="shared" si="11"/>
        <v>429</v>
      </c>
      <c r="M238" t="s">
        <v>49</v>
      </c>
      <c r="N238" t="s">
        <v>50</v>
      </c>
      <c r="O238" t="s">
        <v>75</v>
      </c>
      <c r="P238">
        <v>4</v>
      </c>
    </row>
    <row r="239" spans="1:16" x14ac:dyDescent="0.25">
      <c r="A239" t="str">
        <f t="shared" si="9"/>
        <v>ORD0238</v>
      </c>
      <c r="B239" s="3">
        <v>46296</v>
      </c>
      <c r="C239" t="s">
        <v>80</v>
      </c>
      <c r="D239" t="s">
        <v>63</v>
      </c>
      <c r="E239" t="s">
        <v>42</v>
      </c>
      <c r="F239" t="s">
        <v>40</v>
      </c>
      <c r="G239">
        <v>5</v>
      </c>
      <c r="H239" s="10">
        <f>_xlfn.XLOOKUP(E239,Table18[Product],Table18[Unit_Price])</f>
        <v>80</v>
      </c>
      <c r="I239" s="10">
        <f>_xlfn.XLOOKUP(E239,Table18[Product],Table18[Cost_Price])</f>
        <v>40</v>
      </c>
      <c r="J239" s="10">
        <v>32</v>
      </c>
      <c r="K239" s="10">
        <f t="shared" si="10"/>
        <v>368</v>
      </c>
      <c r="L239" s="10">
        <f t="shared" si="11"/>
        <v>168</v>
      </c>
      <c r="M239" t="s">
        <v>64</v>
      </c>
      <c r="N239" t="s">
        <v>54</v>
      </c>
      <c r="O239" t="s">
        <v>73</v>
      </c>
      <c r="P239">
        <v>5</v>
      </c>
    </row>
    <row r="240" spans="1:16" x14ac:dyDescent="0.25">
      <c r="A240" t="str">
        <f t="shared" si="9"/>
        <v>ORD0239</v>
      </c>
      <c r="B240" s="3">
        <v>46047</v>
      </c>
      <c r="C240" t="s">
        <v>77</v>
      </c>
      <c r="D240" t="s">
        <v>52</v>
      </c>
      <c r="E240" t="s">
        <v>34</v>
      </c>
      <c r="F240" t="s">
        <v>35</v>
      </c>
      <c r="G240">
        <v>3</v>
      </c>
      <c r="H240" s="10">
        <f>_xlfn.XLOOKUP(E240,Table18[Product],Table18[Unit_Price])</f>
        <v>180</v>
      </c>
      <c r="I240" s="10">
        <f>_xlfn.XLOOKUP(E240,Table18[Product],Table18[Cost_Price])</f>
        <v>90</v>
      </c>
      <c r="J240" s="10">
        <v>44</v>
      </c>
      <c r="K240" s="10">
        <f t="shared" si="10"/>
        <v>496</v>
      </c>
      <c r="L240" s="10">
        <f t="shared" si="11"/>
        <v>226</v>
      </c>
      <c r="M240" t="s">
        <v>57</v>
      </c>
      <c r="N240" t="s">
        <v>58</v>
      </c>
      <c r="O240" t="s">
        <v>59</v>
      </c>
      <c r="P240">
        <v>3</v>
      </c>
    </row>
    <row r="241" spans="1:16" x14ac:dyDescent="0.25">
      <c r="A241" t="str">
        <f t="shared" si="9"/>
        <v>ORD0240</v>
      </c>
      <c r="B241" s="3">
        <v>46044</v>
      </c>
      <c r="C241" t="s">
        <v>85</v>
      </c>
      <c r="D241" t="s">
        <v>68</v>
      </c>
      <c r="E241" t="s">
        <v>37</v>
      </c>
      <c r="F241" t="s">
        <v>35</v>
      </c>
      <c r="G241">
        <v>2</v>
      </c>
      <c r="H241" s="10">
        <f>_xlfn.XLOOKUP(E241,Table18[Product],Table18[Unit_Price])</f>
        <v>160</v>
      </c>
      <c r="I241" s="10">
        <f>_xlfn.XLOOKUP(E241,Table18[Product],Table18[Cost_Price])</f>
        <v>80</v>
      </c>
      <c r="J241" s="10">
        <v>4</v>
      </c>
      <c r="K241" s="10">
        <f t="shared" si="10"/>
        <v>316</v>
      </c>
      <c r="L241" s="10">
        <f t="shared" si="11"/>
        <v>156</v>
      </c>
      <c r="M241" t="s">
        <v>64</v>
      </c>
      <c r="N241" t="s">
        <v>58</v>
      </c>
      <c r="O241" t="s">
        <v>65</v>
      </c>
      <c r="P241">
        <v>5</v>
      </c>
    </row>
    <row r="242" spans="1:16" x14ac:dyDescent="0.25">
      <c r="A242" t="str">
        <f t="shared" si="9"/>
        <v>ORD0241</v>
      </c>
      <c r="B242" s="3">
        <v>46212</v>
      </c>
      <c r="C242" t="s">
        <v>84</v>
      </c>
      <c r="D242" t="s">
        <v>56</v>
      </c>
      <c r="E242" t="s">
        <v>32</v>
      </c>
      <c r="F242" t="s">
        <v>31</v>
      </c>
      <c r="G242">
        <v>2</v>
      </c>
      <c r="H242" s="10">
        <f>_xlfn.XLOOKUP(E242,Table18[Product],Table18[Unit_Price])</f>
        <v>130</v>
      </c>
      <c r="I242" s="10">
        <f>_xlfn.XLOOKUP(E242,Table18[Product],Table18[Cost_Price])</f>
        <v>65</v>
      </c>
      <c r="J242" s="10">
        <v>7</v>
      </c>
      <c r="K242" s="10">
        <f t="shared" si="10"/>
        <v>253</v>
      </c>
      <c r="L242" s="10">
        <f t="shared" si="11"/>
        <v>123</v>
      </c>
      <c r="M242" t="s">
        <v>57</v>
      </c>
      <c r="N242" t="s">
        <v>50</v>
      </c>
      <c r="O242" t="s">
        <v>75</v>
      </c>
      <c r="P242">
        <v>3</v>
      </c>
    </row>
    <row r="243" spans="1:16" x14ac:dyDescent="0.25">
      <c r="A243" t="str">
        <f t="shared" si="9"/>
        <v>ORD0242</v>
      </c>
      <c r="B243" s="3">
        <v>46066</v>
      </c>
      <c r="C243" t="s">
        <v>96</v>
      </c>
      <c r="D243" t="s">
        <v>48</v>
      </c>
      <c r="E243" t="s">
        <v>22</v>
      </c>
      <c r="F243" t="s">
        <v>23</v>
      </c>
      <c r="G243">
        <v>2</v>
      </c>
      <c r="H243" s="10">
        <f>_xlfn.XLOOKUP(E243,Table18[Product],Table18[Unit_Price])</f>
        <v>190</v>
      </c>
      <c r="I243" s="10">
        <f>_xlfn.XLOOKUP(E243,Table18[Product],Table18[Cost_Price])</f>
        <v>95</v>
      </c>
      <c r="J243" s="10">
        <v>30</v>
      </c>
      <c r="K243" s="10">
        <f t="shared" si="10"/>
        <v>350</v>
      </c>
      <c r="L243" s="10">
        <f t="shared" si="11"/>
        <v>160</v>
      </c>
      <c r="M243" t="s">
        <v>64</v>
      </c>
      <c r="N243" t="s">
        <v>54</v>
      </c>
      <c r="O243" t="s">
        <v>67</v>
      </c>
      <c r="P243">
        <v>4</v>
      </c>
    </row>
    <row r="244" spans="1:16" x14ac:dyDescent="0.25">
      <c r="A244" t="str">
        <f t="shared" si="9"/>
        <v>ORD0243</v>
      </c>
      <c r="B244" s="3">
        <v>46064</v>
      </c>
      <c r="C244" t="s">
        <v>81</v>
      </c>
      <c r="D244" t="s">
        <v>60</v>
      </c>
      <c r="E244" t="s">
        <v>16</v>
      </c>
      <c r="F244" t="s">
        <v>17</v>
      </c>
      <c r="G244">
        <v>2</v>
      </c>
      <c r="H244" s="10">
        <f>_xlfn.XLOOKUP(E244,Table18[Product],Table18[Unit_Price])</f>
        <v>120</v>
      </c>
      <c r="I244" s="10">
        <f>_xlfn.XLOOKUP(E244,Table18[Product],Table18[Cost_Price])</f>
        <v>60</v>
      </c>
      <c r="J244" s="10">
        <v>7</v>
      </c>
      <c r="K244" s="10">
        <f t="shared" si="10"/>
        <v>233</v>
      </c>
      <c r="L244" s="10">
        <f t="shared" si="11"/>
        <v>113</v>
      </c>
      <c r="M244" t="s">
        <v>49</v>
      </c>
      <c r="N244" t="s">
        <v>54</v>
      </c>
      <c r="O244" t="s">
        <v>75</v>
      </c>
      <c r="P244">
        <v>4</v>
      </c>
    </row>
    <row r="245" spans="1:16" x14ac:dyDescent="0.25">
      <c r="A245" t="str">
        <f t="shared" si="9"/>
        <v>ORD0244</v>
      </c>
      <c r="B245" s="3">
        <v>46380</v>
      </c>
      <c r="C245" t="s">
        <v>100</v>
      </c>
      <c r="D245" t="s">
        <v>48</v>
      </c>
      <c r="E245" t="s">
        <v>24</v>
      </c>
      <c r="F245" t="s">
        <v>23</v>
      </c>
      <c r="G245">
        <v>4</v>
      </c>
      <c r="H245" s="10">
        <f>_xlfn.XLOOKUP(E245,Table18[Product],Table18[Unit_Price])</f>
        <v>210</v>
      </c>
      <c r="I245" s="10">
        <f>_xlfn.XLOOKUP(E245,Table18[Product],Table18[Cost_Price])</f>
        <v>105</v>
      </c>
      <c r="J245" s="10">
        <v>26</v>
      </c>
      <c r="K245" s="10">
        <f t="shared" si="10"/>
        <v>814</v>
      </c>
      <c r="L245" s="10">
        <f t="shared" si="11"/>
        <v>394</v>
      </c>
      <c r="M245" t="s">
        <v>53</v>
      </c>
      <c r="N245" t="s">
        <v>50</v>
      </c>
      <c r="O245" t="s">
        <v>55</v>
      </c>
      <c r="P245">
        <v>5</v>
      </c>
    </row>
    <row r="246" spans="1:16" x14ac:dyDescent="0.25">
      <c r="A246" t="str">
        <f t="shared" si="9"/>
        <v>ORD0245</v>
      </c>
      <c r="B246" s="3">
        <v>46214</v>
      </c>
      <c r="C246" t="s">
        <v>83</v>
      </c>
      <c r="D246" t="s">
        <v>48</v>
      </c>
      <c r="E246" t="s">
        <v>34</v>
      </c>
      <c r="F246" t="s">
        <v>35</v>
      </c>
      <c r="G246">
        <v>5</v>
      </c>
      <c r="H246" s="10">
        <f>_xlfn.XLOOKUP(E246,Table18[Product],Table18[Unit_Price])</f>
        <v>180</v>
      </c>
      <c r="I246" s="10">
        <f>_xlfn.XLOOKUP(E246,Table18[Product],Table18[Cost_Price])</f>
        <v>90</v>
      </c>
      <c r="J246" s="10">
        <v>2</v>
      </c>
      <c r="K246" s="10">
        <f t="shared" si="10"/>
        <v>898</v>
      </c>
      <c r="L246" s="10">
        <f t="shared" si="11"/>
        <v>448</v>
      </c>
      <c r="M246" t="s">
        <v>64</v>
      </c>
      <c r="N246" t="s">
        <v>58</v>
      </c>
      <c r="O246" t="s">
        <v>55</v>
      </c>
      <c r="P246">
        <v>5</v>
      </c>
    </row>
    <row r="247" spans="1:16" x14ac:dyDescent="0.25">
      <c r="A247" t="str">
        <f t="shared" si="9"/>
        <v>ORD0246</v>
      </c>
      <c r="B247" s="3">
        <v>46267</v>
      </c>
      <c r="C247" t="s">
        <v>100</v>
      </c>
      <c r="D247" t="s">
        <v>56</v>
      </c>
      <c r="E247" t="s">
        <v>32</v>
      </c>
      <c r="F247" t="s">
        <v>31</v>
      </c>
      <c r="G247">
        <v>1</v>
      </c>
      <c r="H247" s="10">
        <f>_xlfn.XLOOKUP(E247,Table18[Product],Table18[Unit_Price])</f>
        <v>130</v>
      </c>
      <c r="I247" s="10">
        <f>_xlfn.XLOOKUP(E247,Table18[Product],Table18[Cost_Price])</f>
        <v>65</v>
      </c>
      <c r="J247" s="10">
        <v>45</v>
      </c>
      <c r="K247" s="10">
        <f t="shared" si="10"/>
        <v>85</v>
      </c>
      <c r="L247" s="10">
        <f t="shared" si="11"/>
        <v>20</v>
      </c>
      <c r="M247" t="s">
        <v>53</v>
      </c>
      <c r="N247" t="s">
        <v>50</v>
      </c>
      <c r="O247" t="s">
        <v>71</v>
      </c>
      <c r="P247">
        <v>4</v>
      </c>
    </row>
    <row r="248" spans="1:16" x14ac:dyDescent="0.25">
      <c r="A248" t="str">
        <f t="shared" si="9"/>
        <v>ORD0247</v>
      </c>
      <c r="B248" s="3">
        <v>46346</v>
      </c>
      <c r="C248" t="s">
        <v>92</v>
      </c>
      <c r="D248" t="s">
        <v>68</v>
      </c>
      <c r="E248" t="s">
        <v>27</v>
      </c>
      <c r="F248" t="s">
        <v>28</v>
      </c>
      <c r="G248">
        <v>2</v>
      </c>
      <c r="H248" s="10">
        <f>_xlfn.XLOOKUP(E248,Table18[Product],Table18[Unit_Price])</f>
        <v>140</v>
      </c>
      <c r="I248" s="10">
        <f>_xlfn.XLOOKUP(E248,Table18[Product],Table18[Cost_Price])</f>
        <v>70</v>
      </c>
      <c r="J248" s="10">
        <v>11</v>
      </c>
      <c r="K248" s="10">
        <f t="shared" si="10"/>
        <v>269</v>
      </c>
      <c r="L248" s="10">
        <f t="shared" si="11"/>
        <v>129</v>
      </c>
      <c r="M248" t="s">
        <v>57</v>
      </c>
      <c r="N248" t="s">
        <v>50</v>
      </c>
      <c r="O248" t="s">
        <v>69</v>
      </c>
      <c r="P248">
        <v>3</v>
      </c>
    </row>
    <row r="249" spans="1:16" x14ac:dyDescent="0.25">
      <c r="A249" t="str">
        <f t="shared" si="9"/>
        <v>ORD0248</v>
      </c>
      <c r="B249" s="3">
        <v>46343</v>
      </c>
      <c r="C249" t="s">
        <v>102</v>
      </c>
      <c r="D249" t="s">
        <v>63</v>
      </c>
      <c r="E249" t="s">
        <v>19</v>
      </c>
      <c r="F249" t="s">
        <v>17</v>
      </c>
      <c r="G249">
        <v>2</v>
      </c>
      <c r="H249" s="10">
        <f>_xlfn.XLOOKUP(E249,Table18[Product],Table18[Unit_Price])</f>
        <v>200</v>
      </c>
      <c r="I249" s="10">
        <f>_xlfn.XLOOKUP(E249,Table18[Product],Table18[Cost_Price])</f>
        <v>100</v>
      </c>
      <c r="J249" s="10">
        <v>27</v>
      </c>
      <c r="K249" s="10">
        <f t="shared" si="10"/>
        <v>373</v>
      </c>
      <c r="L249" s="10">
        <f t="shared" si="11"/>
        <v>173</v>
      </c>
      <c r="M249" t="s">
        <v>61</v>
      </c>
      <c r="N249" t="s">
        <v>58</v>
      </c>
      <c r="O249" t="s">
        <v>71</v>
      </c>
      <c r="P249">
        <v>5</v>
      </c>
    </row>
    <row r="250" spans="1:16" x14ac:dyDescent="0.25">
      <c r="A250" t="str">
        <f t="shared" si="9"/>
        <v>ORD0249</v>
      </c>
      <c r="B250" s="3">
        <v>46107</v>
      </c>
      <c r="C250" t="s">
        <v>79</v>
      </c>
      <c r="D250" t="s">
        <v>70</v>
      </c>
      <c r="E250" t="s">
        <v>20</v>
      </c>
      <c r="F250" t="s">
        <v>17</v>
      </c>
      <c r="G250">
        <v>5</v>
      </c>
      <c r="H250" s="10">
        <f>_xlfn.XLOOKUP(E250,Table18[Product],Table18[Unit_Price])</f>
        <v>150</v>
      </c>
      <c r="I250" s="10">
        <f>_xlfn.XLOOKUP(E250,Table18[Product],Table18[Cost_Price])</f>
        <v>75</v>
      </c>
      <c r="J250" s="10">
        <v>35</v>
      </c>
      <c r="K250" s="10">
        <f t="shared" si="10"/>
        <v>715</v>
      </c>
      <c r="L250" s="10">
        <f t="shared" si="11"/>
        <v>340</v>
      </c>
      <c r="M250" t="s">
        <v>64</v>
      </c>
      <c r="N250" t="s">
        <v>58</v>
      </c>
      <c r="O250" t="s">
        <v>75</v>
      </c>
      <c r="P250">
        <v>3</v>
      </c>
    </row>
    <row r="251" spans="1:16" x14ac:dyDescent="0.25">
      <c r="A251" t="str">
        <f t="shared" si="9"/>
        <v>ORD0250</v>
      </c>
      <c r="B251" s="3">
        <v>46243</v>
      </c>
      <c r="C251" t="s">
        <v>87</v>
      </c>
      <c r="D251" t="s">
        <v>74</v>
      </c>
      <c r="E251" t="s">
        <v>29</v>
      </c>
      <c r="F251" t="s">
        <v>28</v>
      </c>
      <c r="G251">
        <v>5</v>
      </c>
      <c r="H251" s="10">
        <f>_xlfn.XLOOKUP(E251,Table18[Product],Table18[Unit_Price])</f>
        <v>120</v>
      </c>
      <c r="I251" s="10">
        <f>_xlfn.XLOOKUP(E251,Table18[Product],Table18[Cost_Price])</f>
        <v>60</v>
      </c>
      <c r="J251" s="10">
        <v>19</v>
      </c>
      <c r="K251" s="10">
        <f t="shared" si="10"/>
        <v>581</v>
      </c>
      <c r="L251" s="10">
        <f t="shared" si="11"/>
        <v>281</v>
      </c>
      <c r="M251" t="s">
        <v>64</v>
      </c>
      <c r="N251" t="s">
        <v>50</v>
      </c>
      <c r="O251" t="s">
        <v>69</v>
      </c>
      <c r="P251">
        <v>3</v>
      </c>
    </row>
    <row r="252" spans="1:16" x14ac:dyDescent="0.25">
      <c r="A252" t="str">
        <f t="shared" si="9"/>
        <v>ORD0251</v>
      </c>
      <c r="B252" s="3">
        <v>46327</v>
      </c>
      <c r="C252" t="s">
        <v>94</v>
      </c>
      <c r="D252" t="s">
        <v>72</v>
      </c>
      <c r="E252" t="s">
        <v>24</v>
      </c>
      <c r="F252" t="s">
        <v>23</v>
      </c>
      <c r="G252">
        <v>1</v>
      </c>
      <c r="H252" s="10">
        <f>_xlfn.XLOOKUP(E252,Table18[Product],Table18[Unit_Price])</f>
        <v>210</v>
      </c>
      <c r="I252" s="10">
        <f>_xlfn.XLOOKUP(E252,Table18[Product],Table18[Cost_Price])</f>
        <v>105</v>
      </c>
      <c r="J252" s="10">
        <v>47</v>
      </c>
      <c r="K252" s="10">
        <f t="shared" si="10"/>
        <v>163</v>
      </c>
      <c r="L252" s="10">
        <f t="shared" si="11"/>
        <v>58</v>
      </c>
      <c r="M252" t="s">
        <v>61</v>
      </c>
      <c r="N252" t="s">
        <v>58</v>
      </c>
      <c r="O252" t="s">
        <v>71</v>
      </c>
      <c r="P252">
        <v>3</v>
      </c>
    </row>
    <row r="253" spans="1:16" x14ac:dyDescent="0.25">
      <c r="A253" t="str">
        <f t="shared" si="9"/>
        <v>ORD0252</v>
      </c>
      <c r="B253" s="3">
        <v>46157</v>
      </c>
      <c r="C253" t="s">
        <v>100</v>
      </c>
      <c r="D253" t="s">
        <v>60</v>
      </c>
      <c r="E253" t="s">
        <v>16</v>
      </c>
      <c r="F253" t="s">
        <v>17</v>
      </c>
      <c r="G253">
        <v>5</v>
      </c>
      <c r="H253" s="10">
        <f>_xlfn.XLOOKUP(E253,Table18[Product],Table18[Unit_Price])</f>
        <v>120</v>
      </c>
      <c r="I253" s="10">
        <f>_xlfn.XLOOKUP(E253,Table18[Product],Table18[Cost_Price])</f>
        <v>60</v>
      </c>
      <c r="J253" s="10">
        <v>46</v>
      </c>
      <c r="K253" s="10">
        <f t="shared" si="10"/>
        <v>554</v>
      </c>
      <c r="L253" s="10">
        <f t="shared" si="11"/>
        <v>254</v>
      </c>
      <c r="M253" t="s">
        <v>64</v>
      </c>
      <c r="N253" t="s">
        <v>54</v>
      </c>
      <c r="O253" t="s">
        <v>71</v>
      </c>
      <c r="P253">
        <v>4</v>
      </c>
    </row>
    <row r="254" spans="1:16" x14ac:dyDescent="0.25">
      <c r="A254" t="str">
        <f t="shared" si="9"/>
        <v>ORD0253</v>
      </c>
      <c r="B254" s="3">
        <v>46101</v>
      </c>
      <c r="C254" t="s">
        <v>96</v>
      </c>
      <c r="D254" t="s">
        <v>70</v>
      </c>
      <c r="E254" t="s">
        <v>18</v>
      </c>
      <c r="F254" t="s">
        <v>17</v>
      </c>
      <c r="G254">
        <v>2</v>
      </c>
      <c r="H254" s="10">
        <f>_xlfn.XLOOKUP(E254,Table18[Product],Table18[Unit_Price])</f>
        <v>180</v>
      </c>
      <c r="I254" s="10">
        <f>_xlfn.XLOOKUP(E254,Table18[Product],Table18[Cost_Price])</f>
        <v>90</v>
      </c>
      <c r="J254" s="10">
        <v>25</v>
      </c>
      <c r="K254" s="10">
        <f t="shared" si="10"/>
        <v>335</v>
      </c>
      <c r="L254" s="10">
        <f t="shared" si="11"/>
        <v>155</v>
      </c>
      <c r="M254" t="s">
        <v>49</v>
      </c>
      <c r="N254" t="s">
        <v>50</v>
      </c>
      <c r="O254" t="s">
        <v>67</v>
      </c>
      <c r="P254">
        <v>4</v>
      </c>
    </row>
    <row r="255" spans="1:16" x14ac:dyDescent="0.25">
      <c r="A255" t="str">
        <f t="shared" si="9"/>
        <v>ORD0254</v>
      </c>
      <c r="B255" s="3">
        <v>46336</v>
      </c>
      <c r="C255" t="s">
        <v>84</v>
      </c>
      <c r="D255" t="s">
        <v>56</v>
      </c>
      <c r="E255" t="s">
        <v>30</v>
      </c>
      <c r="F255" t="s">
        <v>31</v>
      </c>
      <c r="G255">
        <v>5</v>
      </c>
      <c r="H255" s="10">
        <f>_xlfn.XLOOKUP(E255,Table18[Product],Table18[Unit_Price])</f>
        <v>110</v>
      </c>
      <c r="I255" s="10">
        <f>_xlfn.XLOOKUP(E255,Table18[Product],Table18[Cost_Price])</f>
        <v>55</v>
      </c>
      <c r="J255" s="10">
        <v>5</v>
      </c>
      <c r="K255" s="10">
        <f t="shared" si="10"/>
        <v>545</v>
      </c>
      <c r="L255" s="10">
        <f t="shared" si="11"/>
        <v>270</v>
      </c>
      <c r="M255" t="s">
        <v>49</v>
      </c>
      <c r="N255" t="s">
        <v>50</v>
      </c>
      <c r="O255" t="s">
        <v>67</v>
      </c>
      <c r="P255">
        <v>4</v>
      </c>
    </row>
    <row r="256" spans="1:16" x14ac:dyDescent="0.25">
      <c r="A256" t="str">
        <f t="shared" si="9"/>
        <v>ORD0255</v>
      </c>
      <c r="B256" s="3">
        <v>46332</v>
      </c>
      <c r="C256" t="s">
        <v>84</v>
      </c>
      <c r="D256" t="s">
        <v>48</v>
      </c>
      <c r="E256" t="s">
        <v>39</v>
      </c>
      <c r="F256" t="s">
        <v>40</v>
      </c>
      <c r="G256">
        <v>2</v>
      </c>
      <c r="H256" s="10">
        <f>_xlfn.XLOOKUP(E256,Table18[Product],Table18[Unit_Price])</f>
        <v>240</v>
      </c>
      <c r="I256" s="10">
        <f>_xlfn.XLOOKUP(E256,Table18[Product],Table18[Cost_Price])</f>
        <v>120</v>
      </c>
      <c r="J256" s="10">
        <v>19</v>
      </c>
      <c r="K256" s="10">
        <f t="shared" si="10"/>
        <v>461</v>
      </c>
      <c r="L256" s="10">
        <f t="shared" si="11"/>
        <v>221</v>
      </c>
      <c r="M256" t="s">
        <v>49</v>
      </c>
      <c r="N256" t="s">
        <v>50</v>
      </c>
      <c r="O256" t="s">
        <v>67</v>
      </c>
      <c r="P256">
        <v>3</v>
      </c>
    </row>
    <row r="257" spans="1:16" x14ac:dyDescent="0.25">
      <c r="A257" t="str">
        <f t="shared" si="9"/>
        <v>ORD0256</v>
      </c>
      <c r="B257" s="3">
        <v>46346</v>
      </c>
      <c r="C257" t="s">
        <v>86</v>
      </c>
      <c r="D257" t="s">
        <v>63</v>
      </c>
      <c r="E257" t="s">
        <v>32</v>
      </c>
      <c r="F257" t="s">
        <v>31</v>
      </c>
      <c r="G257">
        <v>3</v>
      </c>
      <c r="H257" s="10">
        <f>_xlfn.XLOOKUP(E257,Table18[Product],Table18[Unit_Price])</f>
        <v>130</v>
      </c>
      <c r="I257" s="10">
        <f>_xlfn.XLOOKUP(E257,Table18[Product],Table18[Cost_Price])</f>
        <v>65</v>
      </c>
      <c r="J257" s="10">
        <v>43</v>
      </c>
      <c r="K257" s="10">
        <f t="shared" si="10"/>
        <v>347</v>
      </c>
      <c r="L257" s="10">
        <f t="shared" si="11"/>
        <v>152</v>
      </c>
      <c r="M257" t="s">
        <v>64</v>
      </c>
      <c r="N257" t="s">
        <v>58</v>
      </c>
      <c r="O257" t="s">
        <v>65</v>
      </c>
      <c r="P257">
        <v>4</v>
      </c>
    </row>
    <row r="258" spans="1:16" x14ac:dyDescent="0.25">
      <c r="A258" t="str">
        <f t="shared" si="9"/>
        <v>ORD0257</v>
      </c>
      <c r="B258" s="3">
        <v>46150</v>
      </c>
      <c r="C258" t="s">
        <v>87</v>
      </c>
      <c r="D258" t="s">
        <v>66</v>
      </c>
      <c r="E258" t="s">
        <v>37</v>
      </c>
      <c r="F258" t="s">
        <v>35</v>
      </c>
      <c r="G258">
        <v>4</v>
      </c>
      <c r="H258" s="10">
        <f>_xlfn.XLOOKUP(E258,Table18[Product],Table18[Unit_Price])</f>
        <v>160</v>
      </c>
      <c r="I258" s="10">
        <f>_xlfn.XLOOKUP(E258,Table18[Product],Table18[Cost_Price])</f>
        <v>80</v>
      </c>
      <c r="J258" s="10">
        <v>36</v>
      </c>
      <c r="K258" s="10">
        <f t="shared" si="10"/>
        <v>604</v>
      </c>
      <c r="L258" s="10">
        <f t="shared" si="11"/>
        <v>284</v>
      </c>
      <c r="M258" t="s">
        <v>53</v>
      </c>
      <c r="N258" t="s">
        <v>58</v>
      </c>
      <c r="O258" t="s">
        <v>55</v>
      </c>
      <c r="P258">
        <v>5</v>
      </c>
    </row>
    <row r="259" spans="1:16" x14ac:dyDescent="0.25">
      <c r="A259" t="str">
        <f t="shared" ref="A259:A322" si="12">"ORD"&amp;TEXT(ROW()-1,"0000")</f>
        <v>ORD0258</v>
      </c>
      <c r="B259" s="3">
        <v>46300</v>
      </c>
      <c r="C259" t="s">
        <v>85</v>
      </c>
      <c r="D259" t="s">
        <v>52</v>
      </c>
      <c r="E259" t="s">
        <v>24</v>
      </c>
      <c r="F259" t="s">
        <v>23</v>
      </c>
      <c r="G259">
        <v>3</v>
      </c>
      <c r="H259" s="10">
        <f>_xlfn.XLOOKUP(E259,Table18[Product],Table18[Unit_Price])</f>
        <v>210</v>
      </c>
      <c r="I259" s="10">
        <f>_xlfn.XLOOKUP(E259,Table18[Product],Table18[Cost_Price])</f>
        <v>105</v>
      </c>
      <c r="J259" s="10">
        <v>20</v>
      </c>
      <c r="K259" s="10">
        <f t="shared" ref="K259:K322" si="13">(G259*H259)-J259</f>
        <v>610</v>
      </c>
      <c r="L259" s="10">
        <f t="shared" ref="L259:L322" si="14">K259-(G259*I259)</f>
        <v>295</v>
      </c>
      <c r="M259" t="s">
        <v>49</v>
      </c>
      <c r="N259" t="s">
        <v>54</v>
      </c>
      <c r="O259" t="s">
        <v>59</v>
      </c>
      <c r="P259">
        <v>5</v>
      </c>
    </row>
    <row r="260" spans="1:16" x14ac:dyDescent="0.25">
      <c r="A260" t="str">
        <f t="shared" si="12"/>
        <v>ORD0259</v>
      </c>
      <c r="B260" s="3">
        <v>46080</v>
      </c>
      <c r="C260" t="s">
        <v>98</v>
      </c>
      <c r="D260" t="s">
        <v>74</v>
      </c>
      <c r="E260" t="s">
        <v>20</v>
      </c>
      <c r="F260" t="s">
        <v>17</v>
      </c>
      <c r="G260">
        <v>4</v>
      </c>
      <c r="H260" s="10">
        <f>_xlfn.XLOOKUP(E260,Table18[Product],Table18[Unit_Price])</f>
        <v>150</v>
      </c>
      <c r="I260" s="10">
        <f>_xlfn.XLOOKUP(E260,Table18[Product],Table18[Cost_Price])</f>
        <v>75</v>
      </c>
      <c r="J260" s="10">
        <v>25</v>
      </c>
      <c r="K260" s="10">
        <f t="shared" si="13"/>
        <v>575</v>
      </c>
      <c r="L260" s="10">
        <f t="shared" si="14"/>
        <v>275</v>
      </c>
      <c r="M260" t="s">
        <v>53</v>
      </c>
      <c r="N260" t="s">
        <v>50</v>
      </c>
      <c r="O260" t="s">
        <v>51</v>
      </c>
      <c r="P260">
        <v>5</v>
      </c>
    </row>
    <row r="261" spans="1:16" x14ac:dyDescent="0.25">
      <c r="A261" t="str">
        <f t="shared" si="12"/>
        <v>ORD0260</v>
      </c>
      <c r="B261" s="3">
        <v>46327</v>
      </c>
      <c r="C261" t="s">
        <v>76</v>
      </c>
      <c r="D261" t="s">
        <v>74</v>
      </c>
      <c r="E261" t="s">
        <v>37</v>
      </c>
      <c r="F261" t="s">
        <v>35</v>
      </c>
      <c r="G261">
        <v>3</v>
      </c>
      <c r="H261" s="10">
        <f>_xlfn.XLOOKUP(E261,Table18[Product],Table18[Unit_Price])</f>
        <v>160</v>
      </c>
      <c r="I261" s="10">
        <f>_xlfn.XLOOKUP(E261,Table18[Product],Table18[Cost_Price])</f>
        <v>80</v>
      </c>
      <c r="J261" s="10">
        <v>40</v>
      </c>
      <c r="K261" s="10">
        <f t="shared" si="13"/>
        <v>440</v>
      </c>
      <c r="L261" s="10">
        <f t="shared" si="14"/>
        <v>200</v>
      </c>
      <c r="M261" t="s">
        <v>64</v>
      </c>
      <c r="N261" t="s">
        <v>54</v>
      </c>
      <c r="O261" t="s">
        <v>69</v>
      </c>
      <c r="P261">
        <v>3</v>
      </c>
    </row>
    <row r="262" spans="1:16" x14ac:dyDescent="0.25">
      <c r="A262" t="str">
        <f t="shared" si="12"/>
        <v>ORD0261</v>
      </c>
      <c r="B262" s="3">
        <v>46140</v>
      </c>
      <c r="C262" t="s">
        <v>100</v>
      </c>
      <c r="D262" t="s">
        <v>66</v>
      </c>
      <c r="E262" t="s">
        <v>22</v>
      </c>
      <c r="F262" t="s">
        <v>23</v>
      </c>
      <c r="G262">
        <v>3</v>
      </c>
      <c r="H262" s="10">
        <f>_xlfn.XLOOKUP(E262,Table18[Product],Table18[Unit_Price])</f>
        <v>190</v>
      </c>
      <c r="I262" s="10">
        <f>_xlfn.XLOOKUP(E262,Table18[Product],Table18[Cost_Price])</f>
        <v>95</v>
      </c>
      <c r="J262" s="10">
        <v>24</v>
      </c>
      <c r="K262" s="10">
        <f t="shared" si="13"/>
        <v>546</v>
      </c>
      <c r="L262" s="10">
        <f t="shared" si="14"/>
        <v>261</v>
      </c>
      <c r="M262" t="s">
        <v>64</v>
      </c>
      <c r="N262" t="s">
        <v>54</v>
      </c>
      <c r="O262" t="s">
        <v>59</v>
      </c>
      <c r="P262">
        <v>4</v>
      </c>
    </row>
    <row r="263" spans="1:16" x14ac:dyDescent="0.25">
      <c r="A263" t="str">
        <f t="shared" si="12"/>
        <v>ORD0262</v>
      </c>
      <c r="B263" s="3">
        <v>46069</v>
      </c>
      <c r="C263" t="s">
        <v>98</v>
      </c>
      <c r="D263" t="s">
        <v>60</v>
      </c>
      <c r="E263" t="s">
        <v>34</v>
      </c>
      <c r="F263" t="s">
        <v>35</v>
      </c>
      <c r="G263">
        <v>2</v>
      </c>
      <c r="H263" s="10">
        <f>_xlfn.XLOOKUP(E263,Table18[Product],Table18[Unit_Price])</f>
        <v>180</v>
      </c>
      <c r="I263" s="10">
        <f>_xlfn.XLOOKUP(E263,Table18[Product],Table18[Cost_Price])</f>
        <v>90</v>
      </c>
      <c r="J263" s="10">
        <v>10</v>
      </c>
      <c r="K263" s="10">
        <f t="shared" si="13"/>
        <v>350</v>
      </c>
      <c r="L263" s="10">
        <f t="shared" si="14"/>
        <v>170</v>
      </c>
      <c r="M263" t="s">
        <v>64</v>
      </c>
      <c r="N263" t="s">
        <v>50</v>
      </c>
      <c r="O263" t="s">
        <v>71</v>
      </c>
      <c r="P263">
        <v>4</v>
      </c>
    </row>
    <row r="264" spans="1:16" x14ac:dyDescent="0.25">
      <c r="A264" t="str">
        <f t="shared" si="12"/>
        <v>ORD0263</v>
      </c>
      <c r="B264" s="3">
        <v>46165</v>
      </c>
      <c r="C264" t="s">
        <v>105</v>
      </c>
      <c r="D264" t="s">
        <v>48</v>
      </c>
      <c r="E264" t="s">
        <v>27</v>
      </c>
      <c r="F264" t="s">
        <v>28</v>
      </c>
      <c r="G264">
        <v>3</v>
      </c>
      <c r="H264" s="10">
        <f>_xlfn.XLOOKUP(E264,Table18[Product],Table18[Unit_Price])</f>
        <v>140</v>
      </c>
      <c r="I264" s="10">
        <f>_xlfn.XLOOKUP(E264,Table18[Product],Table18[Cost_Price])</f>
        <v>70</v>
      </c>
      <c r="J264" s="10">
        <v>35</v>
      </c>
      <c r="K264" s="10">
        <f t="shared" si="13"/>
        <v>385</v>
      </c>
      <c r="L264" s="10">
        <f t="shared" si="14"/>
        <v>175</v>
      </c>
      <c r="M264" t="s">
        <v>57</v>
      </c>
      <c r="N264" t="s">
        <v>54</v>
      </c>
      <c r="O264" t="s">
        <v>55</v>
      </c>
      <c r="P264">
        <v>3</v>
      </c>
    </row>
    <row r="265" spans="1:16" x14ac:dyDescent="0.25">
      <c r="A265" t="str">
        <f t="shared" si="12"/>
        <v>ORD0264</v>
      </c>
      <c r="B265" s="3">
        <v>46271</v>
      </c>
      <c r="C265" t="s">
        <v>102</v>
      </c>
      <c r="D265" t="s">
        <v>52</v>
      </c>
      <c r="E265" t="s">
        <v>34</v>
      </c>
      <c r="F265" t="s">
        <v>35</v>
      </c>
      <c r="G265">
        <v>5</v>
      </c>
      <c r="H265" s="10">
        <f>_xlfn.XLOOKUP(E265,Table18[Product],Table18[Unit_Price])</f>
        <v>180</v>
      </c>
      <c r="I265" s="10">
        <f>_xlfn.XLOOKUP(E265,Table18[Product],Table18[Cost_Price])</f>
        <v>90</v>
      </c>
      <c r="J265" s="10">
        <v>21</v>
      </c>
      <c r="K265" s="10">
        <f t="shared" si="13"/>
        <v>879</v>
      </c>
      <c r="L265" s="10">
        <f t="shared" si="14"/>
        <v>429</v>
      </c>
      <c r="M265" t="s">
        <v>49</v>
      </c>
      <c r="N265" t="s">
        <v>58</v>
      </c>
      <c r="O265" t="s">
        <v>67</v>
      </c>
      <c r="P265">
        <v>4</v>
      </c>
    </row>
    <row r="266" spans="1:16" x14ac:dyDescent="0.25">
      <c r="A266" t="str">
        <f t="shared" si="12"/>
        <v>ORD0265</v>
      </c>
      <c r="B266" s="3">
        <v>46218</v>
      </c>
      <c r="C266" t="s">
        <v>91</v>
      </c>
      <c r="D266" t="s">
        <v>66</v>
      </c>
      <c r="E266" t="s">
        <v>21</v>
      </c>
      <c r="F266" t="s">
        <v>17</v>
      </c>
      <c r="G266">
        <v>2</v>
      </c>
      <c r="H266" s="10">
        <f>_xlfn.XLOOKUP(E266,Table18[Product],Table18[Unit_Price])</f>
        <v>220</v>
      </c>
      <c r="I266" s="10">
        <f>_xlfn.XLOOKUP(E266,Table18[Product],Table18[Cost_Price])</f>
        <v>110</v>
      </c>
      <c r="J266" s="10">
        <v>16</v>
      </c>
      <c r="K266" s="10">
        <f t="shared" si="13"/>
        <v>424</v>
      </c>
      <c r="L266" s="10">
        <f t="shared" si="14"/>
        <v>204</v>
      </c>
      <c r="M266" t="s">
        <v>64</v>
      </c>
      <c r="N266" t="s">
        <v>58</v>
      </c>
      <c r="O266" t="s">
        <v>67</v>
      </c>
      <c r="P266">
        <v>5</v>
      </c>
    </row>
    <row r="267" spans="1:16" x14ac:dyDescent="0.25">
      <c r="A267" t="str">
        <f t="shared" si="12"/>
        <v>ORD0266</v>
      </c>
      <c r="B267" s="3">
        <v>46278</v>
      </c>
      <c r="C267" t="s">
        <v>96</v>
      </c>
      <c r="D267" t="s">
        <v>68</v>
      </c>
      <c r="E267" t="s">
        <v>42</v>
      </c>
      <c r="F267" t="s">
        <v>40</v>
      </c>
      <c r="G267">
        <v>5</v>
      </c>
      <c r="H267" s="10">
        <f>_xlfn.XLOOKUP(E267,Table18[Product],Table18[Unit_Price])</f>
        <v>80</v>
      </c>
      <c r="I267" s="10">
        <f>_xlfn.XLOOKUP(E267,Table18[Product],Table18[Cost_Price])</f>
        <v>40</v>
      </c>
      <c r="J267" s="10">
        <v>22</v>
      </c>
      <c r="K267" s="10">
        <f t="shared" si="13"/>
        <v>378</v>
      </c>
      <c r="L267" s="10">
        <f t="shared" si="14"/>
        <v>178</v>
      </c>
      <c r="M267" t="s">
        <v>61</v>
      </c>
      <c r="N267" t="s">
        <v>50</v>
      </c>
      <c r="O267" t="s">
        <v>65</v>
      </c>
      <c r="P267">
        <v>3</v>
      </c>
    </row>
    <row r="268" spans="1:16" x14ac:dyDescent="0.25">
      <c r="A268" t="str">
        <f t="shared" si="12"/>
        <v>ORD0267</v>
      </c>
      <c r="B268" s="3">
        <v>46116</v>
      </c>
      <c r="C268" t="s">
        <v>105</v>
      </c>
      <c r="D268" t="s">
        <v>66</v>
      </c>
      <c r="E268" t="s">
        <v>27</v>
      </c>
      <c r="F268" t="s">
        <v>28</v>
      </c>
      <c r="G268">
        <v>1</v>
      </c>
      <c r="H268" s="10">
        <f>_xlfn.XLOOKUP(E268,Table18[Product],Table18[Unit_Price])</f>
        <v>140</v>
      </c>
      <c r="I268" s="10">
        <f>_xlfn.XLOOKUP(E268,Table18[Product],Table18[Cost_Price])</f>
        <v>70</v>
      </c>
      <c r="J268" s="10">
        <v>32</v>
      </c>
      <c r="K268" s="10">
        <f t="shared" si="13"/>
        <v>108</v>
      </c>
      <c r="L268" s="10">
        <f t="shared" si="14"/>
        <v>38</v>
      </c>
      <c r="M268" t="s">
        <v>57</v>
      </c>
      <c r="N268" t="s">
        <v>58</v>
      </c>
      <c r="O268" t="s">
        <v>59</v>
      </c>
      <c r="P268">
        <v>5</v>
      </c>
    </row>
    <row r="269" spans="1:16" x14ac:dyDescent="0.25">
      <c r="A269" t="str">
        <f t="shared" si="12"/>
        <v>ORD0268</v>
      </c>
      <c r="B269" s="3">
        <v>46241</v>
      </c>
      <c r="C269" t="s">
        <v>78</v>
      </c>
      <c r="D269" t="s">
        <v>68</v>
      </c>
      <c r="E269" t="s">
        <v>27</v>
      </c>
      <c r="F269" t="s">
        <v>28</v>
      </c>
      <c r="G269">
        <v>5</v>
      </c>
      <c r="H269" s="10">
        <f>_xlfn.XLOOKUP(E269,Table18[Product],Table18[Unit_Price])</f>
        <v>140</v>
      </c>
      <c r="I269" s="10">
        <f>_xlfn.XLOOKUP(E269,Table18[Product],Table18[Cost_Price])</f>
        <v>70</v>
      </c>
      <c r="J269" s="10">
        <v>29</v>
      </c>
      <c r="K269" s="10">
        <f t="shared" si="13"/>
        <v>671</v>
      </c>
      <c r="L269" s="10">
        <f t="shared" si="14"/>
        <v>321</v>
      </c>
      <c r="M269" t="s">
        <v>53</v>
      </c>
      <c r="N269" t="s">
        <v>58</v>
      </c>
      <c r="O269" t="s">
        <v>75</v>
      </c>
      <c r="P269">
        <v>5</v>
      </c>
    </row>
    <row r="270" spans="1:16" x14ac:dyDescent="0.25">
      <c r="A270" t="str">
        <f t="shared" si="12"/>
        <v>ORD0269</v>
      </c>
      <c r="B270" s="3">
        <v>46119</v>
      </c>
      <c r="C270" t="s">
        <v>96</v>
      </c>
      <c r="D270" t="s">
        <v>74</v>
      </c>
      <c r="E270" t="s">
        <v>16</v>
      </c>
      <c r="F270" t="s">
        <v>17</v>
      </c>
      <c r="G270">
        <v>5</v>
      </c>
      <c r="H270" s="10">
        <f>_xlfn.XLOOKUP(E270,Table18[Product],Table18[Unit_Price])</f>
        <v>120</v>
      </c>
      <c r="I270" s="10">
        <f>_xlfn.XLOOKUP(E270,Table18[Product],Table18[Cost_Price])</f>
        <v>60</v>
      </c>
      <c r="J270" s="10">
        <v>30</v>
      </c>
      <c r="K270" s="10">
        <f t="shared" si="13"/>
        <v>570</v>
      </c>
      <c r="L270" s="10">
        <f t="shared" si="14"/>
        <v>270</v>
      </c>
      <c r="M270" t="s">
        <v>57</v>
      </c>
      <c r="N270" t="s">
        <v>54</v>
      </c>
      <c r="O270" t="s">
        <v>65</v>
      </c>
      <c r="P270">
        <v>5</v>
      </c>
    </row>
    <row r="271" spans="1:16" x14ac:dyDescent="0.25">
      <c r="A271" t="str">
        <f t="shared" si="12"/>
        <v>ORD0270</v>
      </c>
      <c r="B271" s="3">
        <v>46064</v>
      </c>
      <c r="C271" t="s">
        <v>86</v>
      </c>
      <c r="D271" t="s">
        <v>60</v>
      </c>
      <c r="E271" t="s">
        <v>38</v>
      </c>
      <c r="F271" t="s">
        <v>35</v>
      </c>
      <c r="G271">
        <v>1</v>
      </c>
      <c r="H271" s="10">
        <f>_xlfn.XLOOKUP(E271,Table18[Product],Table18[Unit_Price])</f>
        <v>170</v>
      </c>
      <c r="I271" s="10">
        <f>_xlfn.XLOOKUP(E271,Table18[Product],Table18[Cost_Price])</f>
        <v>85</v>
      </c>
      <c r="J271" s="10">
        <v>20</v>
      </c>
      <c r="K271" s="10">
        <f t="shared" si="13"/>
        <v>150</v>
      </c>
      <c r="L271" s="10">
        <f t="shared" si="14"/>
        <v>65</v>
      </c>
      <c r="M271" t="s">
        <v>57</v>
      </c>
      <c r="N271" t="s">
        <v>50</v>
      </c>
      <c r="O271" t="s">
        <v>59</v>
      </c>
      <c r="P271">
        <v>5</v>
      </c>
    </row>
    <row r="272" spans="1:16" x14ac:dyDescent="0.25">
      <c r="A272" t="str">
        <f t="shared" si="12"/>
        <v>ORD0271</v>
      </c>
      <c r="B272" s="3">
        <v>46198</v>
      </c>
      <c r="C272" t="s">
        <v>105</v>
      </c>
      <c r="D272" t="s">
        <v>74</v>
      </c>
      <c r="E272" t="s">
        <v>37</v>
      </c>
      <c r="F272" t="s">
        <v>35</v>
      </c>
      <c r="G272">
        <v>3</v>
      </c>
      <c r="H272" s="10">
        <f>_xlfn.XLOOKUP(E272,Table18[Product],Table18[Unit_Price])</f>
        <v>160</v>
      </c>
      <c r="I272" s="10">
        <f>_xlfn.XLOOKUP(E272,Table18[Product],Table18[Cost_Price])</f>
        <v>80</v>
      </c>
      <c r="J272" s="10">
        <v>49</v>
      </c>
      <c r="K272" s="10">
        <f t="shared" si="13"/>
        <v>431</v>
      </c>
      <c r="L272" s="10">
        <f t="shared" si="14"/>
        <v>191</v>
      </c>
      <c r="M272" t="s">
        <v>61</v>
      </c>
      <c r="N272" t="s">
        <v>54</v>
      </c>
      <c r="O272" t="s">
        <v>71</v>
      </c>
      <c r="P272">
        <v>5</v>
      </c>
    </row>
    <row r="273" spans="1:16" x14ac:dyDescent="0.25">
      <c r="A273" t="str">
        <f t="shared" si="12"/>
        <v>ORD0272</v>
      </c>
      <c r="B273" s="3">
        <v>46075</v>
      </c>
      <c r="C273" t="s">
        <v>84</v>
      </c>
      <c r="D273" t="s">
        <v>48</v>
      </c>
      <c r="E273" t="s">
        <v>32</v>
      </c>
      <c r="F273" t="s">
        <v>31</v>
      </c>
      <c r="G273">
        <v>5</v>
      </c>
      <c r="H273" s="10">
        <f>_xlfn.XLOOKUP(E273,Table18[Product],Table18[Unit_Price])</f>
        <v>130</v>
      </c>
      <c r="I273" s="10">
        <f>_xlfn.XLOOKUP(E273,Table18[Product],Table18[Cost_Price])</f>
        <v>65</v>
      </c>
      <c r="J273" s="10">
        <v>12</v>
      </c>
      <c r="K273" s="10">
        <f t="shared" si="13"/>
        <v>638</v>
      </c>
      <c r="L273" s="10">
        <f t="shared" si="14"/>
        <v>313</v>
      </c>
      <c r="M273" t="s">
        <v>57</v>
      </c>
      <c r="N273" t="s">
        <v>58</v>
      </c>
      <c r="O273" t="s">
        <v>73</v>
      </c>
      <c r="P273">
        <v>5</v>
      </c>
    </row>
    <row r="274" spans="1:16" x14ac:dyDescent="0.25">
      <c r="A274" t="str">
        <f t="shared" si="12"/>
        <v>ORD0273</v>
      </c>
      <c r="B274" s="3">
        <v>46224</v>
      </c>
      <c r="C274" t="s">
        <v>94</v>
      </c>
      <c r="D274" t="s">
        <v>48</v>
      </c>
      <c r="E274" t="s">
        <v>33</v>
      </c>
      <c r="F274" t="s">
        <v>31</v>
      </c>
      <c r="G274">
        <v>3</v>
      </c>
      <c r="H274" s="10">
        <f>_xlfn.XLOOKUP(E274,Table18[Product],Table18[Unit_Price])</f>
        <v>150</v>
      </c>
      <c r="I274" s="10">
        <f>_xlfn.XLOOKUP(E274,Table18[Product],Table18[Cost_Price])</f>
        <v>75</v>
      </c>
      <c r="J274" s="10">
        <v>20</v>
      </c>
      <c r="K274" s="10">
        <f t="shared" si="13"/>
        <v>430</v>
      </c>
      <c r="L274" s="10">
        <f t="shared" si="14"/>
        <v>205</v>
      </c>
      <c r="M274" t="s">
        <v>57</v>
      </c>
      <c r="N274" t="s">
        <v>54</v>
      </c>
      <c r="O274" t="s">
        <v>51</v>
      </c>
      <c r="P274">
        <v>5</v>
      </c>
    </row>
    <row r="275" spans="1:16" x14ac:dyDescent="0.25">
      <c r="A275" t="str">
        <f t="shared" si="12"/>
        <v>ORD0274</v>
      </c>
      <c r="B275" s="3">
        <v>46035</v>
      </c>
      <c r="C275" t="s">
        <v>100</v>
      </c>
      <c r="D275" t="s">
        <v>70</v>
      </c>
      <c r="E275" t="s">
        <v>19</v>
      </c>
      <c r="F275" t="s">
        <v>17</v>
      </c>
      <c r="G275">
        <v>1</v>
      </c>
      <c r="H275" s="10">
        <f>_xlfn.XLOOKUP(E275,Table18[Product],Table18[Unit_Price])</f>
        <v>200</v>
      </c>
      <c r="I275" s="10">
        <f>_xlfn.XLOOKUP(E275,Table18[Product],Table18[Cost_Price])</f>
        <v>100</v>
      </c>
      <c r="J275" s="10">
        <v>32</v>
      </c>
      <c r="K275" s="10">
        <f t="shared" si="13"/>
        <v>168</v>
      </c>
      <c r="L275" s="10">
        <f t="shared" si="14"/>
        <v>68</v>
      </c>
      <c r="M275" t="s">
        <v>61</v>
      </c>
      <c r="N275" t="s">
        <v>50</v>
      </c>
      <c r="O275" t="s">
        <v>62</v>
      </c>
      <c r="P275">
        <v>3</v>
      </c>
    </row>
    <row r="276" spans="1:16" x14ac:dyDescent="0.25">
      <c r="A276" t="str">
        <f t="shared" si="12"/>
        <v>ORD0275</v>
      </c>
      <c r="B276" s="3">
        <v>46191</v>
      </c>
      <c r="C276" t="s">
        <v>97</v>
      </c>
      <c r="D276" t="s">
        <v>66</v>
      </c>
      <c r="E276" t="s">
        <v>42</v>
      </c>
      <c r="F276" t="s">
        <v>40</v>
      </c>
      <c r="G276">
        <v>4</v>
      </c>
      <c r="H276" s="10">
        <f>_xlfn.XLOOKUP(E276,Table18[Product],Table18[Unit_Price])</f>
        <v>80</v>
      </c>
      <c r="I276" s="10">
        <f>_xlfn.XLOOKUP(E276,Table18[Product],Table18[Cost_Price])</f>
        <v>40</v>
      </c>
      <c r="J276" s="10">
        <v>23</v>
      </c>
      <c r="K276" s="10">
        <f t="shared" si="13"/>
        <v>297</v>
      </c>
      <c r="L276" s="10">
        <f t="shared" si="14"/>
        <v>137</v>
      </c>
      <c r="M276" t="s">
        <v>61</v>
      </c>
      <c r="N276" t="s">
        <v>54</v>
      </c>
      <c r="O276" t="s">
        <v>73</v>
      </c>
      <c r="P276">
        <v>5</v>
      </c>
    </row>
    <row r="277" spans="1:16" x14ac:dyDescent="0.25">
      <c r="A277" t="str">
        <f t="shared" si="12"/>
        <v>ORD0276</v>
      </c>
      <c r="B277" s="3">
        <v>46070</v>
      </c>
      <c r="C277" t="s">
        <v>89</v>
      </c>
      <c r="D277" t="s">
        <v>52</v>
      </c>
      <c r="E277" t="s">
        <v>22</v>
      </c>
      <c r="F277" t="s">
        <v>23</v>
      </c>
      <c r="G277">
        <v>4</v>
      </c>
      <c r="H277" s="10">
        <f>_xlfn.XLOOKUP(E277,Table18[Product],Table18[Unit_Price])</f>
        <v>190</v>
      </c>
      <c r="I277" s="10">
        <f>_xlfn.XLOOKUP(E277,Table18[Product],Table18[Cost_Price])</f>
        <v>95</v>
      </c>
      <c r="J277" s="10">
        <v>2</v>
      </c>
      <c r="K277" s="10">
        <f t="shared" si="13"/>
        <v>758</v>
      </c>
      <c r="L277" s="10">
        <f t="shared" si="14"/>
        <v>378</v>
      </c>
      <c r="M277" t="s">
        <v>61</v>
      </c>
      <c r="N277" t="s">
        <v>54</v>
      </c>
      <c r="O277" t="s">
        <v>65</v>
      </c>
      <c r="P277">
        <v>5</v>
      </c>
    </row>
    <row r="278" spans="1:16" x14ac:dyDescent="0.25">
      <c r="A278" t="str">
        <f t="shared" si="12"/>
        <v>ORD0277</v>
      </c>
      <c r="B278" s="3">
        <v>46333</v>
      </c>
      <c r="C278" t="s">
        <v>94</v>
      </c>
      <c r="D278" t="s">
        <v>60</v>
      </c>
      <c r="E278" t="s">
        <v>22</v>
      </c>
      <c r="F278" t="s">
        <v>23</v>
      </c>
      <c r="G278">
        <v>1</v>
      </c>
      <c r="H278" s="10">
        <f>_xlfn.XLOOKUP(E278,Table18[Product],Table18[Unit_Price])</f>
        <v>190</v>
      </c>
      <c r="I278" s="10">
        <f>_xlfn.XLOOKUP(E278,Table18[Product],Table18[Cost_Price])</f>
        <v>95</v>
      </c>
      <c r="J278" s="10">
        <v>1</v>
      </c>
      <c r="K278" s="10">
        <f t="shared" si="13"/>
        <v>189</v>
      </c>
      <c r="L278" s="10">
        <f t="shared" si="14"/>
        <v>94</v>
      </c>
      <c r="M278" t="s">
        <v>57</v>
      </c>
      <c r="N278" t="s">
        <v>54</v>
      </c>
      <c r="O278" t="s">
        <v>65</v>
      </c>
      <c r="P278">
        <v>5</v>
      </c>
    </row>
    <row r="279" spans="1:16" x14ac:dyDescent="0.25">
      <c r="A279" t="str">
        <f t="shared" si="12"/>
        <v>ORD0278</v>
      </c>
      <c r="B279" s="3">
        <v>46214</v>
      </c>
      <c r="C279" t="s">
        <v>101</v>
      </c>
      <c r="D279" t="s">
        <v>60</v>
      </c>
      <c r="E279" t="s">
        <v>34</v>
      </c>
      <c r="F279" t="s">
        <v>35</v>
      </c>
      <c r="G279">
        <v>3</v>
      </c>
      <c r="H279" s="10">
        <f>_xlfn.XLOOKUP(E279,Table18[Product],Table18[Unit_Price])</f>
        <v>180</v>
      </c>
      <c r="I279" s="10">
        <f>_xlfn.XLOOKUP(E279,Table18[Product],Table18[Cost_Price])</f>
        <v>90</v>
      </c>
      <c r="J279" s="10">
        <v>45</v>
      </c>
      <c r="K279" s="10">
        <f t="shared" si="13"/>
        <v>495</v>
      </c>
      <c r="L279" s="10">
        <f t="shared" si="14"/>
        <v>225</v>
      </c>
      <c r="M279" t="s">
        <v>53</v>
      </c>
      <c r="N279" t="s">
        <v>58</v>
      </c>
      <c r="O279" t="s">
        <v>75</v>
      </c>
      <c r="P279">
        <v>4</v>
      </c>
    </row>
    <row r="280" spans="1:16" x14ac:dyDescent="0.25">
      <c r="A280" t="str">
        <f t="shared" si="12"/>
        <v>ORD0279</v>
      </c>
      <c r="B280" s="3">
        <v>46328</v>
      </c>
      <c r="C280" t="s">
        <v>100</v>
      </c>
      <c r="D280" t="s">
        <v>70</v>
      </c>
      <c r="E280" t="s">
        <v>16</v>
      </c>
      <c r="F280" t="s">
        <v>17</v>
      </c>
      <c r="G280">
        <v>1</v>
      </c>
      <c r="H280" s="10">
        <f>_xlfn.XLOOKUP(E280,Table18[Product],Table18[Unit_Price])</f>
        <v>120</v>
      </c>
      <c r="I280" s="10">
        <f>_xlfn.XLOOKUP(E280,Table18[Product],Table18[Cost_Price])</f>
        <v>60</v>
      </c>
      <c r="J280" s="10">
        <v>26</v>
      </c>
      <c r="K280" s="10">
        <f t="shared" si="13"/>
        <v>94</v>
      </c>
      <c r="L280" s="10">
        <f t="shared" si="14"/>
        <v>34</v>
      </c>
      <c r="M280" t="s">
        <v>57</v>
      </c>
      <c r="N280" t="s">
        <v>50</v>
      </c>
      <c r="O280" t="s">
        <v>69</v>
      </c>
      <c r="P280">
        <v>4</v>
      </c>
    </row>
    <row r="281" spans="1:16" x14ac:dyDescent="0.25">
      <c r="A281" t="str">
        <f t="shared" si="12"/>
        <v>ORD0280</v>
      </c>
      <c r="B281" s="3">
        <v>46252</v>
      </c>
      <c r="C281" t="s">
        <v>89</v>
      </c>
      <c r="D281" t="s">
        <v>48</v>
      </c>
      <c r="E281" t="s">
        <v>22</v>
      </c>
      <c r="F281" t="s">
        <v>23</v>
      </c>
      <c r="G281">
        <v>2</v>
      </c>
      <c r="H281" s="10">
        <f>_xlfn.XLOOKUP(E281,Table18[Product],Table18[Unit_Price])</f>
        <v>190</v>
      </c>
      <c r="I281" s="10">
        <f>_xlfn.XLOOKUP(E281,Table18[Product],Table18[Cost_Price])</f>
        <v>95</v>
      </c>
      <c r="J281" s="10">
        <v>17</v>
      </c>
      <c r="K281" s="10">
        <f t="shared" si="13"/>
        <v>363</v>
      </c>
      <c r="L281" s="10">
        <f t="shared" si="14"/>
        <v>173</v>
      </c>
      <c r="M281" t="s">
        <v>49</v>
      </c>
      <c r="N281" t="s">
        <v>58</v>
      </c>
      <c r="O281" t="s">
        <v>55</v>
      </c>
      <c r="P281">
        <v>4</v>
      </c>
    </row>
    <row r="282" spans="1:16" x14ac:dyDescent="0.25">
      <c r="A282" t="str">
        <f t="shared" si="12"/>
        <v>ORD0281</v>
      </c>
      <c r="B282" s="3">
        <v>46114</v>
      </c>
      <c r="C282" t="s">
        <v>99</v>
      </c>
      <c r="D282" t="s">
        <v>56</v>
      </c>
      <c r="E282" t="s">
        <v>33</v>
      </c>
      <c r="F282" t="s">
        <v>31</v>
      </c>
      <c r="G282">
        <v>3</v>
      </c>
      <c r="H282" s="10">
        <f>_xlfn.XLOOKUP(E282,Table18[Product],Table18[Unit_Price])</f>
        <v>150</v>
      </c>
      <c r="I282" s="10">
        <f>_xlfn.XLOOKUP(E282,Table18[Product],Table18[Cost_Price])</f>
        <v>75</v>
      </c>
      <c r="J282" s="10">
        <v>20</v>
      </c>
      <c r="K282" s="10">
        <f t="shared" si="13"/>
        <v>430</v>
      </c>
      <c r="L282" s="10">
        <f t="shared" si="14"/>
        <v>205</v>
      </c>
      <c r="M282" t="s">
        <v>57</v>
      </c>
      <c r="N282" t="s">
        <v>58</v>
      </c>
      <c r="O282" t="s">
        <v>69</v>
      </c>
      <c r="P282">
        <v>4</v>
      </c>
    </row>
    <row r="283" spans="1:16" x14ac:dyDescent="0.25">
      <c r="A283" t="str">
        <f t="shared" si="12"/>
        <v>ORD0282</v>
      </c>
      <c r="B283" s="3">
        <v>46154</v>
      </c>
      <c r="C283" t="s">
        <v>94</v>
      </c>
      <c r="D283" t="s">
        <v>52</v>
      </c>
      <c r="E283" t="s">
        <v>36</v>
      </c>
      <c r="F283" t="s">
        <v>35</v>
      </c>
      <c r="G283">
        <v>3</v>
      </c>
      <c r="H283" s="10">
        <f>_xlfn.XLOOKUP(E283,Table18[Product],Table18[Unit_Price])</f>
        <v>220</v>
      </c>
      <c r="I283" s="10">
        <f>_xlfn.XLOOKUP(E283,Table18[Product],Table18[Cost_Price])</f>
        <v>110</v>
      </c>
      <c r="J283" s="10">
        <v>44</v>
      </c>
      <c r="K283" s="10">
        <f t="shared" si="13"/>
        <v>616</v>
      </c>
      <c r="L283" s="10">
        <f t="shared" si="14"/>
        <v>286</v>
      </c>
      <c r="M283" t="s">
        <v>57</v>
      </c>
      <c r="N283" t="s">
        <v>58</v>
      </c>
      <c r="O283" t="s">
        <v>75</v>
      </c>
      <c r="P283">
        <v>3</v>
      </c>
    </row>
    <row r="284" spans="1:16" x14ac:dyDescent="0.25">
      <c r="A284" t="str">
        <f t="shared" si="12"/>
        <v>ORD0283</v>
      </c>
      <c r="B284" s="3">
        <v>46042</v>
      </c>
      <c r="C284" t="s">
        <v>92</v>
      </c>
      <c r="D284" t="s">
        <v>72</v>
      </c>
      <c r="E284" t="s">
        <v>38</v>
      </c>
      <c r="F284" t="s">
        <v>35</v>
      </c>
      <c r="G284">
        <v>1</v>
      </c>
      <c r="H284" s="10">
        <f>_xlfn.XLOOKUP(E284,Table18[Product],Table18[Unit_Price])</f>
        <v>170</v>
      </c>
      <c r="I284" s="10">
        <f>_xlfn.XLOOKUP(E284,Table18[Product],Table18[Cost_Price])</f>
        <v>85</v>
      </c>
      <c r="J284" s="10">
        <v>44</v>
      </c>
      <c r="K284" s="10">
        <f t="shared" si="13"/>
        <v>126</v>
      </c>
      <c r="L284" s="10">
        <f t="shared" si="14"/>
        <v>41</v>
      </c>
      <c r="M284" t="s">
        <v>53</v>
      </c>
      <c r="N284" t="s">
        <v>54</v>
      </c>
      <c r="O284" t="s">
        <v>73</v>
      </c>
      <c r="P284">
        <v>4</v>
      </c>
    </row>
    <row r="285" spans="1:16" x14ac:dyDescent="0.25">
      <c r="A285" t="str">
        <f t="shared" si="12"/>
        <v>ORD0284</v>
      </c>
      <c r="B285" s="3">
        <v>46050</v>
      </c>
      <c r="C285" t="s">
        <v>83</v>
      </c>
      <c r="D285" t="s">
        <v>63</v>
      </c>
      <c r="E285" t="s">
        <v>21</v>
      </c>
      <c r="F285" t="s">
        <v>17</v>
      </c>
      <c r="G285">
        <v>1</v>
      </c>
      <c r="H285" s="10">
        <f>_xlfn.XLOOKUP(E285,Table18[Product],Table18[Unit_Price])</f>
        <v>220</v>
      </c>
      <c r="I285" s="10">
        <f>_xlfn.XLOOKUP(E285,Table18[Product],Table18[Cost_Price])</f>
        <v>110</v>
      </c>
      <c r="J285" s="10">
        <v>15</v>
      </c>
      <c r="K285" s="10">
        <f t="shared" si="13"/>
        <v>205</v>
      </c>
      <c r="L285" s="10">
        <f t="shared" si="14"/>
        <v>95</v>
      </c>
      <c r="M285" t="s">
        <v>57</v>
      </c>
      <c r="N285" t="s">
        <v>54</v>
      </c>
      <c r="O285" t="s">
        <v>71</v>
      </c>
      <c r="P285">
        <v>4</v>
      </c>
    </row>
    <row r="286" spans="1:16" x14ac:dyDescent="0.25">
      <c r="A286" t="str">
        <f t="shared" si="12"/>
        <v>ORD0285</v>
      </c>
      <c r="B286" s="3">
        <v>46134</v>
      </c>
      <c r="C286" t="s">
        <v>103</v>
      </c>
      <c r="D286" t="s">
        <v>70</v>
      </c>
      <c r="E286" t="s">
        <v>16</v>
      </c>
      <c r="F286" t="s">
        <v>17</v>
      </c>
      <c r="G286">
        <v>1</v>
      </c>
      <c r="H286" s="10">
        <f>_xlfn.XLOOKUP(E286,Table18[Product],Table18[Unit_Price])</f>
        <v>120</v>
      </c>
      <c r="I286" s="10">
        <f>_xlfn.XLOOKUP(E286,Table18[Product],Table18[Cost_Price])</f>
        <v>60</v>
      </c>
      <c r="J286" s="10">
        <v>40</v>
      </c>
      <c r="K286" s="10">
        <f t="shared" si="13"/>
        <v>80</v>
      </c>
      <c r="L286" s="10">
        <f t="shared" si="14"/>
        <v>20</v>
      </c>
      <c r="M286" t="s">
        <v>57</v>
      </c>
      <c r="N286" t="s">
        <v>58</v>
      </c>
      <c r="O286" t="s">
        <v>67</v>
      </c>
      <c r="P286">
        <v>4</v>
      </c>
    </row>
    <row r="287" spans="1:16" x14ac:dyDescent="0.25">
      <c r="A287" t="str">
        <f t="shared" si="12"/>
        <v>ORD0286</v>
      </c>
      <c r="B287" s="3">
        <v>46201</v>
      </c>
      <c r="C287" t="s">
        <v>82</v>
      </c>
      <c r="D287" t="s">
        <v>48</v>
      </c>
      <c r="E287" t="s">
        <v>27</v>
      </c>
      <c r="F287" t="s">
        <v>28</v>
      </c>
      <c r="G287">
        <v>3</v>
      </c>
      <c r="H287" s="10">
        <f>_xlfn.XLOOKUP(E287,Table18[Product],Table18[Unit_Price])</f>
        <v>140</v>
      </c>
      <c r="I287" s="10">
        <f>_xlfn.XLOOKUP(E287,Table18[Product],Table18[Cost_Price])</f>
        <v>70</v>
      </c>
      <c r="J287" s="10">
        <v>29</v>
      </c>
      <c r="K287" s="10">
        <f t="shared" si="13"/>
        <v>391</v>
      </c>
      <c r="L287" s="10">
        <f t="shared" si="14"/>
        <v>181</v>
      </c>
      <c r="M287" t="s">
        <v>57</v>
      </c>
      <c r="N287" t="s">
        <v>50</v>
      </c>
      <c r="O287" t="s">
        <v>67</v>
      </c>
      <c r="P287">
        <v>4</v>
      </c>
    </row>
    <row r="288" spans="1:16" x14ac:dyDescent="0.25">
      <c r="A288" t="str">
        <f t="shared" si="12"/>
        <v>ORD0287</v>
      </c>
      <c r="B288" s="3">
        <v>46328</v>
      </c>
      <c r="C288" t="s">
        <v>90</v>
      </c>
      <c r="D288" t="s">
        <v>63</v>
      </c>
      <c r="E288" t="s">
        <v>34</v>
      </c>
      <c r="F288" t="s">
        <v>35</v>
      </c>
      <c r="G288">
        <v>3</v>
      </c>
      <c r="H288" s="10">
        <f>_xlfn.XLOOKUP(E288,Table18[Product],Table18[Unit_Price])</f>
        <v>180</v>
      </c>
      <c r="I288" s="10">
        <f>_xlfn.XLOOKUP(E288,Table18[Product],Table18[Cost_Price])</f>
        <v>90</v>
      </c>
      <c r="J288" s="10">
        <v>7</v>
      </c>
      <c r="K288" s="10">
        <f t="shared" si="13"/>
        <v>533</v>
      </c>
      <c r="L288" s="10">
        <f t="shared" si="14"/>
        <v>263</v>
      </c>
      <c r="M288" t="s">
        <v>49</v>
      </c>
      <c r="N288" t="s">
        <v>50</v>
      </c>
      <c r="O288" t="s">
        <v>59</v>
      </c>
      <c r="P288">
        <v>3</v>
      </c>
    </row>
    <row r="289" spans="1:16" x14ac:dyDescent="0.25">
      <c r="A289" t="str">
        <f t="shared" si="12"/>
        <v>ORD0288</v>
      </c>
      <c r="B289" s="3">
        <v>46303</v>
      </c>
      <c r="C289" t="s">
        <v>102</v>
      </c>
      <c r="D289" t="s">
        <v>72</v>
      </c>
      <c r="E289" t="s">
        <v>30</v>
      </c>
      <c r="F289" t="s">
        <v>31</v>
      </c>
      <c r="G289">
        <v>2</v>
      </c>
      <c r="H289" s="10">
        <f>_xlfn.XLOOKUP(E289,Table18[Product],Table18[Unit_Price])</f>
        <v>110</v>
      </c>
      <c r="I289" s="10">
        <f>_xlfn.XLOOKUP(E289,Table18[Product],Table18[Cost_Price])</f>
        <v>55</v>
      </c>
      <c r="J289" s="10">
        <v>35</v>
      </c>
      <c r="K289" s="10">
        <f t="shared" si="13"/>
        <v>185</v>
      </c>
      <c r="L289" s="10">
        <f t="shared" si="14"/>
        <v>75</v>
      </c>
      <c r="M289" t="s">
        <v>49</v>
      </c>
      <c r="N289" t="s">
        <v>54</v>
      </c>
      <c r="O289" t="s">
        <v>75</v>
      </c>
      <c r="P289">
        <v>4</v>
      </c>
    </row>
    <row r="290" spans="1:16" x14ac:dyDescent="0.25">
      <c r="A290" t="str">
        <f t="shared" si="12"/>
        <v>ORD0289</v>
      </c>
      <c r="B290" s="3">
        <v>46338</v>
      </c>
      <c r="C290" t="s">
        <v>105</v>
      </c>
      <c r="D290" t="s">
        <v>56</v>
      </c>
      <c r="E290" t="s">
        <v>41</v>
      </c>
      <c r="F290" t="s">
        <v>40</v>
      </c>
      <c r="G290">
        <v>3</v>
      </c>
      <c r="H290" s="10">
        <f>_xlfn.XLOOKUP(E290,Table18[Product],Table18[Unit_Price])</f>
        <v>100</v>
      </c>
      <c r="I290" s="10">
        <f>_xlfn.XLOOKUP(E290,Table18[Product],Table18[Cost_Price])</f>
        <v>50</v>
      </c>
      <c r="J290" s="10">
        <v>23</v>
      </c>
      <c r="K290" s="10">
        <f t="shared" si="13"/>
        <v>277</v>
      </c>
      <c r="L290" s="10">
        <f t="shared" si="14"/>
        <v>127</v>
      </c>
      <c r="M290" t="s">
        <v>61</v>
      </c>
      <c r="N290" t="s">
        <v>58</v>
      </c>
      <c r="O290" t="s">
        <v>62</v>
      </c>
      <c r="P290">
        <v>3</v>
      </c>
    </row>
    <row r="291" spans="1:16" x14ac:dyDescent="0.25">
      <c r="A291" t="str">
        <f t="shared" si="12"/>
        <v>ORD0290</v>
      </c>
      <c r="B291" s="3">
        <v>46148</v>
      </c>
      <c r="C291" t="s">
        <v>81</v>
      </c>
      <c r="D291" t="s">
        <v>48</v>
      </c>
      <c r="E291" t="s">
        <v>34</v>
      </c>
      <c r="F291" t="s">
        <v>35</v>
      </c>
      <c r="G291">
        <v>2</v>
      </c>
      <c r="H291" s="10">
        <f>_xlfn.XLOOKUP(E291,Table18[Product],Table18[Unit_Price])</f>
        <v>180</v>
      </c>
      <c r="I291" s="10">
        <f>_xlfn.XLOOKUP(E291,Table18[Product],Table18[Cost_Price])</f>
        <v>90</v>
      </c>
      <c r="J291" s="10">
        <v>12</v>
      </c>
      <c r="K291" s="10">
        <f t="shared" si="13"/>
        <v>348</v>
      </c>
      <c r="L291" s="10">
        <f t="shared" si="14"/>
        <v>168</v>
      </c>
      <c r="M291" t="s">
        <v>64</v>
      </c>
      <c r="N291" t="s">
        <v>58</v>
      </c>
      <c r="O291" t="s">
        <v>73</v>
      </c>
      <c r="P291">
        <v>5</v>
      </c>
    </row>
    <row r="292" spans="1:16" x14ac:dyDescent="0.25">
      <c r="A292" t="str">
        <f t="shared" si="12"/>
        <v>ORD0291</v>
      </c>
      <c r="B292" s="3">
        <v>46023</v>
      </c>
      <c r="C292" t="s">
        <v>92</v>
      </c>
      <c r="D292" t="s">
        <v>70</v>
      </c>
      <c r="E292" t="s">
        <v>25</v>
      </c>
      <c r="F292" t="s">
        <v>26</v>
      </c>
      <c r="G292">
        <v>3</v>
      </c>
      <c r="H292" s="10">
        <f>_xlfn.XLOOKUP(E292,Table18[Product],Table18[Unit_Price])</f>
        <v>170</v>
      </c>
      <c r="I292" s="10">
        <f>_xlfn.XLOOKUP(E292,Table18[Product],Table18[Cost_Price])</f>
        <v>85</v>
      </c>
      <c r="J292" s="10">
        <v>39</v>
      </c>
      <c r="K292" s="10">
        <f t="shared" si="13"/>
        <v>471</v>
      </c>
      <c r="L292" s="10">
        <f t="shared" si="14"/>
        <v>216</v>
      </c>
      <c r="M292" t="s">
        <v>53</v>
      </c>
      <c r="N292" t="s">
        <v>58</v>
      </c>
      <c r="O292" t="s">
        <v>75</v>
      </c>
      <c r="P292">
        <v>4</v>
      </c>
    </row>
    <row r="293" spans="1:16" x14ac:dyDescent="0.25">
      <c r="A293" t="str">
        <f t="shared" si="12"/>
        <v>ORD0292</v>
      </c>
      <c r="B293" s="3">
        <v>46211</v>
      </c>
      <c r="C293" t="s">
        <v>82</v>
      </c>
      <c r="D293" t="s">
        <v>48</v>
      </c>
      <c r="E293" t="s">
        <v>22</v>
      </c>
      <c r="F293" t="s">
        <v>23</v>
      </c>
      <c r="G293">
        <v>2</v>
      </c>
      <c r="H293" s="10">
        <f>_xlfn.XLOOKUP(E293,Table18[Product],Table18[Unit_Price])</f>
        <v>190</v>
      </c>
      <c r="I293" s="10">
        <f>_xlfn.XLOOKUP(E293,Table18[Product],Table18[Cost_Price])</f>
        <v>95</v>
      </c>
      <c r="J293" s="10">
        <v>48</v>
      </c>
      <c r="K293" s="10">
        <f t="shared" si="13"/>
        <v>332</v>
      </c>
      <c r="L293" s="10">
        <f t="shared" si="14"/>
        <v>142</v>
      </c>
      <c r="M293" t="s">
        <v>61</v>
      </c>
      <c r="N293" t="s">
        <v>58</v>
      </c>
      <c r="O293" t="s">
        <v>71</v>
      </c>
      <c r="P293">
        <v>4</v>
      </c>
    </row>
    <row r="294" spans="1:16" x14ac:dyDescent="0.25">
      <c r="A294" t="str">
        <f t="shared" si="12"/>
        <v>ORD0293</v>
      </c>
      <c r="B294" s="3">
        <v>46040</v>
      </c>
      <c r="C294" t="s">
        <v>105</v>
      </c>
      <c r="D294" t="s">
        <v>56</v>
      </c>
      <c r="E294" t="s">
        <v>25</v>
      </c>
      <c r="F294" t="s">
        <v>26</v>
      </c>
      <c r="G294">
        <v>3</v>
      </c>
      <c r="H294" s="10">
        <f>_xlfn.XLOOKUP(E294,Table18[Product],Table18[Unit_Price])</f>
        <v>170</v>
      </c>
      <c r="I294" s="10">
        <f>_xlfn.XLOOKUP(E294,Table18[Product],Table18[Cost_Price])</f>
        <v>85</v>
      </c>
      <c r="J294" s="10">
        <v>27</v>
      </c>
      <c r="K294" s="10">
        <f t="shared" si="13"/>
        <v>483</v>
      </c>
      <c r="L294" s="10">
        <f t="shared" si="14"/>
        <v>228</v>
      </c>
      <c r="M294" t="s">
        <v>61</v>
      </c>
      <c r="N294" t="s">
        <v>58</v>
      </c>
      <c r="O294" t="s">
        <v>65</v>
      </c>
      <c r="P294">
        <v>5</v>
      </c>
    </row>
    <row r="295" spans="1:16" x14ac:dyDescent="0.25">
      <c r="A295" t="str">
        <f t="shared" si="12"/>
        <v>ORD0294</v>
      </c>
      <c r="B295" s="3">
        <v>46330</v>
      </c>
      <c r="C295" t="s">
        <v>94</v>
      </c>
      <c r="D295" t="s">
        <v>68</v>
      </c>
      <c r="E295" t="s">
        <v>32</v>
      </c>
      <c r="F295" t="s">
        <v>31</v>
      </c>
      <c r="G295">
        <v>3</v>
      </c>
      <c r="H295" s="10">
        <f>_xlfn.XLOOKUP(E295,Table18[Product],Table18[Unit_Price])</f>
        <v>130</v>
      </c>
      <c r="I295" s="10">
        <f>_xlfn.XLOOKUP(E295,Table18[Product],Table18[Cost_Price])</f>
        <v>65</v>
      </c>
      <c r="J295" s="10">
        <v>48</v>
      </c>
      <c r="K295" s="10">
        <f t="shared" si="13"/>
        <v>342</v>
      </c>
      <c r="L295" s="10">
        <f t="shared" si="14"/>
        <v>147</v>
      </c>
      <c r="M295" t="s">
        <v>53</v>
      </c>
      <c r="N295" t="s">
        <v>58</v>
      </c>
      <c r="O295" t="s">
        <v>69</v>
      </c>
      <c r="P295">
        <v>4</v>
      </c>
    </row>
    <row r="296" spans="1:16" x14ac:dyDescent="0.25">
      <c r="A296" t="str">
        <f t="shared" si="12"/>
        <v>ORD0295</v>
      </c>
      <c r="B296" s="3">
        <v>46041</v>
      </c>
      <c r="C296" t="s">
        <v>81</v>
      </c>
      <c r="D296" t="s">
        <v>52</v>
      </c>
      <c r="E296" t="s">
        <v>42</v>
      </c>
      <c r="F296" t="s">
        <v>40</v>
      </c>
      <c r="G296">
        <v>5</v>
      </c>
      <c r="H296" s="10">
        <f>_xlfn.XLOOKUP(E296,Table18[Product],Table18[Unit_Price])</f>
        <v>80</v>
      </c>
      <c r="I296" s="10">
        <f>_xlfn.XLOOKUP(E296,Table18[Product],Table18[Cost_Price])</f>
        <v>40</v>
      </c>
      <c r="J296" s="10">
        <v>33</v>
      </c>
      <c r="K296" s="10">
        <f t="shared" si="13"/>
        <v>367</v>
      </c>
      <c r="L296" s="10">
        <f t="shared" si="14"/>
        <v>167</v>
      </c>
      <c r="M296" t="s">
        <v>53</v>
      </c>
      <c r="N296" t="s">
        <v>50</v>
      </c>
      <c r="O296" t="s">
        <v>55</v>
      </c>
      <c r="P296">
        <v>3</v>
      </c>
    </row>
    <row r="297" spans="1:16" x14ac:dyDescent="0.25">
      <c r="A297" t="str">
        <f t="shared" si="12"/>
        <v>ORD0296</v>
      </c>
      <c r="B297" s="3">
        <v>46149</v>
      </c>
      <c r="C297" t="s">
        <v>82</v>
      </c>
      <c r="D297" t="s">
        <v>66</v>
      </c>
      <c r="E297" t="s">
        <v>32</v>
      </c>
      <c r="F297" t="s">
        <v>31</v>
      </c>
      <c r="G297">
        <v>2</v>
      </c>
      <c r="H297" s="10">
        <f>_xlfn.XLOOKUP(E297,Table18[Product],Table18[Unit_Price])</f>
        <v>130</v>
      </c>
      <c r="I297" s="10">
        <f>_xlfn.XLOOKUP(E297,Table18[Product],Table18[Cost_Price])</f>
        <v>65</v>
      </c>
      <c r="J297" s="10">
        <v>49</v>
      </c>
      <c r="K297" s="10">
        <f t="shared" si="13"/>
        <v>211</v>
      </c>
      <c r="L297" s="10">
        <f t="shared" si="14"/>
        <v>81</v>
      </c>
      <c r="M297" t="s">
        <v>57</v>
      </c>
      <c r="N297" t="s">
        <v>58</v>
      </c>
      <c r="O297" t="s">
        <v>73</v>
      </c>
      <c r="P297">
        <v>3</v>
      </c>
    </row>
    <row r="298" spans="1:16" x14ac:dyDescent="0.25">
      <c r="A298" t="str">
        <f t="shared" si="12"/>
        <v>ORD0297</v>
      </c>
      <c r="B298" s="3">
        <v>46130</v>
      </c>
      <c r="C298" t="s">
        <v>94</v>
      </c>
      <c r="D298" t="s">
        <v>52</v>
      </c>
      <c r="E298" t="s">
        <v>24</v>
      </c>
      <c r="F298" t="s">
        <v>23</v>
      </c>
      <c r="G298">
        <v>1</v>
      </c>
      <c r="H298" s="10">
        <f>_xlfn.XLOOKUP(E298,Table18[Product],Table18[Unit_Price])</f>
        <v>210</v>
      </c>
      <c r="I298" s="10">
        <f>_xlfn.XLOOKUP(E298,Table18[Product],Table18[Cost_Price])</f>
        <v>105</v>
      </c>
      <c r="J298" s="10">
        <v>45</v>
      </c>
      <c r="K298" s="10">
        <f t="shared" si="13"/>
        <v>165</v>
      </c>
      <c r="L298" s="10">
        <f t="shared" si="14"/>
        <v>60</v>
      </c>
      <c r="M298" t="s">
        <v>53</v>
      </c>
      <c r="N298" t="s">
        <v>58</v>
      </c>
      <c r="O298" t="s">
        <v>51</v>
      </c>
      <c r="P298">
        <v>3</v>
      </c>
    </row>
    <row r="299" spans="1:16" x14ac:dyDescent="0.25">
      <c r="A299" t="str">
        <f t="shared" si="12"/>
        <v>ORD0298</v>
      </c>
      <c r="B299" s="3">
        <v>46269</v>
      </c>
      <c r="C299" t="s">
        <v>95</v>
      </c>
      <c r="D299" t="s">
        <v>48</v>
      </c>
      <c r="E299" t="s">
        <v>32</v>
      </c>
      <c r="F299" t="s">
        <v>31</v>
      </c>
      <c r="G299">
        <v>5</v>
      </c>
      <c r="H299" s="10">
        <f>_xlfn.XLOOKUP(E299,Table18[Product],Table18[Unit_Price])</f>
        <v>130</v>
      </c>
      <c r="I299" s="10">
        <f>_xlfn.XLOOKUP(E299,Table18[Product],Table18[Cost_Price])</f>
        <v>65</v>
      </c>
      <c r="J299" s="10">
        <v>21</v>
      </c>
      <c r="K299" s="10">
        <f t="shared" si="13"/>
        <v>629</v>
      </c>
      <c r="L299" s="10">
        <f t="shared" si="14"/>
        <v>304</v>
      </c>
      <c r="M299" t="s">
        <v>57</v>
      </c>
      <c r="N299" t="s">
        <v>50</v>
      </c>
      <c r="O299" t="s">
        <v>69</v>
      </c>
      <c r="P299">
        <v>4</v>
      </c>
    </row>
    <row r="300" spans="1:16" x14ac:dyDescent="0.25">
      <c r="A300" t="str">
        <f t="shared" si="12"/>
        <v>ORD0299</v>
      </c>
      <c r="B300" s="3">
        <v>46068</v>
      </c>
      <c r="C300" t="s">
        <v>86</v>
      </c>
      <c r="D300" t="s">
        <v>72</v>
      </c>
      <c r="E300" t="s">
        <v>25</v>
      </c>
      <c r="F300" t="s">
        <v>26</v>
      </c>
      <c r="G300">
        <v>1</v>
      </c>
      <c r="H300" s="10">
        <f>_xlfn.XLOOKUP(E300,Table18[Product],Table18[Unit_Price])</f>
        <v>170</v>
      </c>
      <c r="I300" s="10">
        <f>_xlfn.XLOOKUP(E300,Table18[Product],Table18[Cost_Price])</f>
        <v>85</v>
      </c>
      <c r="J300" s="10">
        <v>2</v>
      </c>
      <c r="K300" s="10">
        <f t="shared" si="13"/>
        <v>168</v>
      </c>
      <c r="L300" s="10">
        <f t="shared" si="14"/>
        <v>83</v>
      </c>
      <c r="M300" t="s">
        <v>64</v>
      </c>
      <c r="N300" t="s">
        <v>50</v>
      </c>
      <c r="O300" t="s">
        <v>51</v>
      </c>
      <c r="P300">
        <v>3</v>
      </c>
    </row>
    <row r="301" spans="1:16" x14ac:dyDescent="0.25">
      <c r="A301" t="str">
        <f t="shared" si="12"/>
        <v>ORD0300</v>
      </c>
      <c r="B301" s="3">
        <v>46209</v>
      </c>
      <c r="C301" t="s">
        <v>94</v>
      </c>
      <c r="D301" t="s">
        <v>48</v>
      </c>
      <c r="E301" t="s">
        <v>29</v>
      </c>
      <c r="F301" t="s">
        <v>28</v>
      </c>
      <c r="G301">
        <v>5</v>
      </c>
      <c r="H301" s="10">
        <f>_xlfn.XLOOKUP(E301,Table18[Product],Table18[Unit_Price])</f>
        <v>120</v>
      </c>
      <c r="I301" s="10">
        <f>_xlfn.XLOOKUP(E301,Table18[Product],Table18[Cost_Price])</f>
        <v>60</v>
      </c>
      <c r="J301" s="10">
        <v>33</v>
      </c>
      <c r="K301" s="10">
        <f t="shared" si="13"/>
        <v>567</v>
      </c>
      <c r="L301" s="10">
        <f t="shared" si="14"/>
        <v>267</v>
      </c>
      <c r="M301" t="s">
        <v>49</v>
      </c>
      <c r="N301" t="s">
        <v>54</v>
      </c>
      <c r="O301" t="s">
        <v>75</v>
      </c>
      <c r="P301">
        <v>3</v>
      </c>
    </row>
    <row r="302" spans="1:16" x14ac:dyDescent="0.25">
      <c r="A302" t="str">
        <f t="shared" si="12"/>
        <v>ORD0301</v>
      </c>
      <c r="B302" s="3">
        <v>46183</v>
      </c>
      <c r="C302" t="s">
        <v>104</v>
      </c>
      <c r="D302" t="s">
        <v>63</v>
      </c>
      <c r="E302" t="s">
        <v>33</v>
      </c>
      <c r="F302" t="s">
        <v>31</v>
      </c>
      <c r="G302">
        <v>1</v>
      </c>
      <c r="H302" s="10">
        <f>_xlfn.XLOOKUP(E302,Table18[Product],Table18[Unit_Price])</f>
        <v>150</v>
      </c>
      <c r="I302" s="10">
        <f>_xlfn.XLOOKUP(E302,Table18[Product],Table18[Cost_Price])</f>
        <v>75</v>
      </c>
      <c r="J302" s="10">
        <v>5</v>
      </c>
      <c r="K302" s="10">
        <f t="shared" si="13"/>
        <v>145</v>
      </c>
      <c r="L302" s="10">
        <f t="shared" si="14"/>
        <v>70</v>
      </c>
      <c r="M302" t="s">
        <v>57</v>
      </c>
      <c r="N302" t="s">
        <v>58</v>
      </c>
      <c r="O302" t="s">
        <v>73</v>
      </c>
      <c r="P302">
        <v>5</v>
      </c>
    </row>
    <row r="303" spans="1:16" x14ac:dyDescent="0.25">
      <c r="A303" t="str">
        <f t="shared" si="12"/>
        <v>ORD0302</v>
      </c>
      <c r="B303" s="3">
        <v>46310</v>
      </c>
      <c r="C303" t="s">
        <v>81</v>
      </c>
      <c r="D303" t="s">
        <v>56</v>
      </c>
      <c r="E303" t="s">
        <v>30</v>
      </c>
      <c r="F303" t="s">
        <v>31</v>
      </c>
      <c r="G303">
        <v>3</v>
      </c>
      <c r="H303" s="10">
        <f>_xlfn.XLOOKUP(E303,Table18[Product],Table18[Unit_Price])</f>
        <v>110</v>
      </c>
      <c r="I303" s="10">
        <f>_xlfn.XLOOKUP(E303,Table18[Product],Table18[Cost_Price])</f>
        <v>55</v>
      </c>
      <c r="J303" s="10">
        <v>43</v>
      </c>
      <c r="K303" s="10">
        <f t="shared" si="13"/>
        <v>287</v>
      </c>
      <c r="L303" s="10">
        <f t="shared" si="14"/>
        <v>122</v>
      </c>
      <c r="M303" t="s">
        <v>61</v>
      </c>
      <c r="N303" t="s">
        <v>50</v>
      </c>
      <c r="O303" t="s">
        <v>75</v>
      </c>
      <c r="P303">
        <v>3</v>
      </c>
    </row>
    <row r="304" spans="1:16" x14ac:dyDescent="0.25">
      <c r="A304" t="str">
        <f t="shared" si="12"/>
        <v>ORD0303</v>
      </c>
      <c r="B304" s="3">
        <v>46293</v>
      </c>
      <c r="C304" t="s">
        <v>93</v>
      </c>
      <c r="D304" t="s">
        <v>56</v>
      </c>
      <c r="E304" t="s">
        <v>25</v>
      </c>
      <c r="F304" t="s">
        <v>26</v>
      </c>
      <c r="G304">
        <v>2</v>
      </c>
      <c r="H304" s="10">
        <f>_xlfn.XLOOKUP(E304,Table18[Product],Table18[Unit_Price])</f>
        <v>170</v>
      </c>
      <c r="I304" s="10">
        <f>_xlfn.XLOOKUP(E304,Table18[Product],Table18[Cost_Price])</f>
        <v>85</v>
      </c>
      <c r="J304" s="10">
        <v>9</v>
      </c>
      <c r="K304" s="10">
        <f t="shared" si="13"/>
        <v>331</v>
      </c>
      <c r="L304" s="10">
        <f t="shared" si="14"/>
        <v>161</v>
      </c>
      <c r="M304" t="s">
        <v>49</v>
      </c>
      <c r="N304" t="s">
        <v>58</v>
      </c>
      <c r="O304" t="s">
        <v>55</v>
      </c>
      <c r="P304">
        <v>5</v>
      </c>
    </row>
    <row r="305" spans="1:16" x14ac:dyDescent="0.25">
      <c r="A305" t="str">
        <f t="shared" si="12"/>
        <v>ORD0304</v>
      </c>
      <c r="B305" s="3">
        <v>46279</v>
      </c>
      <c r="C305" t="s">
        <v>101</v>
      </c>
      <c r="D305" t="s">
        <v>52</v>
      </c>
      <c r="E305" t="s">
        <v>24</v>
      </c>
      <c r="F305" t="s">
        <v>23</v>
      </c>
      <c r="G305">
        <v>5</v>
      </c>
      <c r="H305" s="10">
        <f>_xlfn.XLOOKUP(E305,Table18[Product],Table18[Unit_Price])</f>
        <v>210</v>
      </c>
      <c r="I305" s="10">
        <f>_xlfn.XLOOKUP(E305,Table18[Product],Table18[Cost_Price])</f>
        <v>105</v>
      </c>
      <c r="J305" s="10">
        <v>9</v>
      </c>
      <c r="K305" s="10">
        <f t="shared" si="13"/>
        <v>1041</v>
      </c>
      <c r="L305" s="10">
        <f t="shared" si="14"/>
        <v>516</v>
      </c>
      <c r="M305" t="s">
        <v>49</v>
      </c>
      <c r="N305" t="s">
        <v>58</v>
      </c>
      <c r="O305" t="s">
        <v>51</v>
      </c>
      <c r="P305">
        <v>5</v>
      </c>
    </row>
    <row r="306" spans="1:16" x14ac:dyDescent="0.25">
      <c r="A306" t="str">
        <f t="shared" si="12"/>
        <v>ORD0305</v>
      </c>
      <c r="B306" s="3">
        <v>46237</v>
      </c>
      <c r="C306" t="s">
        <v>82</v>
      </c>
      <c r="D306" t="s">
        <v>63</v>
      </c>
      <c r="E306" t="s">
        <v>41</v>
      </c>
      <c r="F306" t="s">
        <v>40</v>
      </c>
      <c r="G306">
        <v>1</v>
      </c>
      <c r="H306" s="10">
        <f>_xlfn.XLOOKUP(E306,Table18[Product],Table18[Unit_Price])</f>
        <v>100</v>
      </c>
      <c r="I306" s="10">
        <f>_xlfn.XLOOKUP(E306,Table18[Product],Table18[Cost_Price])</f>
        <v>50</v>
      </c>
      <c r="J306" s="10">
        <v>36</v>
      </c>
      <c r="K306" s="10">
        <f t="shared" si="13"/>
        <v>64</v>
      </c>
      <c r="L306" s="10">
        <f t="shared" si="14"/>
        <v>14</v>
      </c>
      <c r="M306" t="s">
        <v>57</v>
      </c>
      <c r="N306" t="s">
        <v>58</v>
      </c>
      <c r="O306" t="s">
        <v>51</v>
      </c>
      <c r="P306">
        <v>5</v>
      </c>
    </row>
    <row r="307" spans="1:16" x14ac:dyDescent="0.25">
      <c r="A307" t="str">
        <f t="shared" si="12"/>
        <v>ORD0306</v>
      </c>
      <c r="B307" s="3">
        <v>46161</v>
      </c>
      <c r="C307" t="s">
        <v>86</v>
      </c>
      <c r="D307" t="s">
        <v>48</v>
      </c>
      <c r="E307" t="s">
        <v>37</v>
      </c>
      <c r="F307" t="s">
        <v>35</v>
      </c>
      <c r="G307">
        <v>5</v>
      </c>
      <c r="H307" s="10">
        <f>_xlfn.XLOOKUP(E307,Table18[Product],Table18[Unit_Price])</f>
        <v>160</v>
      </c>
      <c r="I307" s="10">
        <f>_xlfn.XLOOKUP(E307,Table18[Product],Table18[Cost_Price])</f>
        <v>80</v>
      </c>
      <c r="J307" s="10">
        <v>48</v>
      </c>
      <c r="K307" s="10">
        <f t="shared" si="13"/>
        <v>752</v>
      </c>
      <c r="L307" s="10">
        <f t="shared" si="14"/>
        <v>352</v>
      </c>
      <c r="M307" t="s">
        <v>53</v>
      </c>
      <c r="N307" t="s">
        <v>50</v>
      </c>
      <c r="O307" t="s">
        <v>67</v>
      </c>
      <c r="P307">
        <v>4</v>
      </c>
    </row>
    <row r="308" spans="1:16" x14ac:dyDescent="0.25">
      <c r="A308" t="str">
        <f t="shared" si="12"/>
        <v>ORD0307</v>
      </c>
      <c r="B308" s="3">
        <v>46347</v>
      </c>
      <c r="C308" t="s">
        <v>96</v>
      </c>
      <c r="D308" t="s">
        <v>68</v>
      </c>
      <c r="E308" t="s">
        <v>16</v>
      </c>
      <c r="F308" t="s">
        <v>17</v>
      </c>
      <c r="G308">
        <v>1</v>
      </c>
      <c r="H308" s="10">
        <f>_xlfn.XLOOKUP(E308,Table18[Product],Table18[Unit_Price])</f>
        <v>120</v>
      </c>
      <c r="I308" s="10">
        <f>_xlfn.XLOOKUP(E308,Table18[Product],Table18[Cost_Price])</f>
        <v>60</v>
      </c>
      <c r="J308" s="10">
        <v>7</v>
      </c>
      <c r="K308" s="10">
        <f t="shared" si="13"/>
        <v>113</v>
      </c>
      <c r="L308" s="10">
        <f t="shared" si="14"/>
        <v>53</v>
      </c>
      <c r="M308" t="s">
        <v>64</v>
      </c>
      <c r="N308" t="s">
        <v>58</v>
      </c>
      <c r="O308" t="s">
        <v>55</v>
      </c>
      <c r="P308">
        <v>5</v>
      </c>
    </row>
    <row r="309" spans="1:16" x14ac:dyDescent="0.25">
      <c r="A309" t="str">
        <f t="shared" si="12"/>
        <v>ORD0308</v>
      </c>
      <c r="B309" s="3">
        <v>46365</v>
      </c>
      <c r="C309" t="s">
        <v>97</v>
      </c>
      <c r="D309" t="s">
        <v>68</v>
      </c>
      <c r="E309" t="s">
        <v>20</v>
      </c>
      <c r="F309" t="s">
        <v>17</v>
      </c>
      <c r="G309">
        <v>1</v>
      </c>
      <c r="H309" s="10">
        <f>_xlfn.XLOOKUP(E309,Table18[Product],Table18[Unit_Price])</f>
        <v>150</v>
      </c>
      <c r="I309" s="10">
        <f>_xlfn.XLOOKUP(E309,Table18[Product],Table18[Cost_Price])</f>
        <v>75</v>
      </c>
      <c r="J309" s="10">
        <v>24</v>
      </c>
      <c r="K309" s="10">
        <f t="shared" si="13"/>
        <v>126</v>
      </c>
      <c r="L309" s="10">
        <f t="shared" si="14"/>
        <v>51</v>
      </c>
      <c r="M309" t="s">
        <v>53</v>
      </c>
      <c r="N309" t="s">
        <v>50</v>
      </c>
      <c r="O309" t="s">
        <v>75</v>
      </c>
      <c r="P309">
        <v>4</v>
      </c>
    </row>
    <row r="310" spans="1:16" x14ac:dyDescent="0.25">
      <c r="A310" t="str">
        <f t="shared" si="12"/>
        <v>ORD0309</v>
      </c>
      <c r="B310" s="3">
        <v>46380</v>
      </c>
      <c r="C310" t="s">
        <v>94</v>
      </c>
      <c r="D310" t="s">
        <v>52</v>
      </c>
      <c r="E310" t="s">
        <v>39</v>
      </c>
      <c r="F310" t="s">
        <v>40</v>
      </c>
      <c r="G310">
        <v>5</v>
      </c>
      <c r="H310" s="10">
        <f>_xlfn.XLOOKUP(E310,Table18[Product],Table18[Unit_Price])</f>
        <v>240</v>
      </c>
      <c r="I310" s="10">
        <f>_xlfn.XLOOKUP(E310,Table18[Product],Table18[Cost_Price])</f>
        <v>120</v>
      </c>
      <c r="J310" s="10">
        <v>47</v>
      </c>
      <c r="K310" s="10">
        <f t="shared" si="13"/>
        <v>1153</v>
      </c>
      <c r="L310" s="10">
        <f t="shared" si="14"/>
        <v>553</v>
      </c>
      <c r="M310" t="s">
        <v>64</v>
      </c>
      <c r="N310" t="s">
        <v>54</v>
      </c>
      <c r="O310" t="s">
        <v>55</v>
      </c>
      <c r="P310">
        <v>4</v>
      </c>
    </row>
    <row r="311" spans="1:16" x14ac:dyDescent="0.25">
      <c r="A311" t="str">
        <f t="shared" si="12"/>
        <v>ORD0310</v>
      </c>
      <c r="B311" s="3">
        <v>46311</v>
      </c>
      <c r="C311" t="s">
        <v>104</v>
      </c>
      <c r="D311" t="s">
        <v>68</v>
      </c>
      <c r="E311" t="s">
        <v>18</v>
      </c>
      <c r="F311" t="s">
        <v>17</v>
      </c>
      <c r="G311">
        <v>3</v>
      </c>
      <c r="H311" s="10">
        <f>_xlfn.XLOOKUP(E311,Table18[Product],Table18[Unit_Price])</f>
        <v>180</v>
      </c>
      <c r="I311" s="10">
        <f>_xlfn.XLOOKUP(E311,Table18[Product],Table18[Cost_Price])</f>
        <v>90</v>
      </c>
      <c r="J311" s="10">
        <v>4</v>
      </c>
      <c r="K311" s="10">
        <f t="shared" si="13"/>
        <v>536</v>
      </c>
      <c r="L311" s="10">
        <f t="shared" si="14"/>
        <v>266</v>
      </c>
      <c r="M311" t="s">
        <v>61</v>
      </c>
      <c r="N311" t="s">
        <v>54</v>
      </c>
      <c r="O311" t="s">
        <v>67</v>
      </c>
      <c r="P311">
        <v>4</v>
      </c>
    </row>
    <row r="312" spans="1:16" x14ac:dyDescent="0.25">
      <c r="A312" t="str">
        <f t="shared" si="12"/>
        <v>ORD0311</v>
      </c>
      <c r="B312" s="3">
        <v>46075</v>
      </c>
      <c r="C312" t="s">
        <v>92</v>
      </c>
      <c r="D312" t="s">
        <v>70</v>
      </c>
      <c r="E312" t="s">
        <v>30</v>
      </c>
      <c r="F312" t="s">
        <v>31</v>
      </c>
      <c r="G312">
        <v>5</v>
      </c>
      <c r="H312" s="10">
        <f>_xlfn.XLOOKUP(E312,Table18[Product],Table18[Unit_Price])</f>
        <v>110</v>
      </c>
      <c r="I312" s="10">
        <f>_xlfn.XLOOKUP(E312,Table18[Product],Table18[Cost_Price])</f>
        <v>55</v>
      </c>
      <c r="J312" s="10">
        <v>40</v>
      </c>
      <c r="K312" s="10">
        <f t="shared" si="13"/>
        <v>510</v>
      </c>
      <c r="L312" s="10">
        <f t="shared" si="14"/>
        <v>235</v>
      </c>
      <c r="M312" t="s">
        <v>49</v>
      </c>
      <c r="N312" t="s">
        <v>58</v>
      </c>
      <c r="O312" t="s">
        <v>62</v>
      </c>
      <c r="P312">
        <v>3</v>
      </c>
    </row>
    <row r="313" spans="1:16" x14ac:dyDescent="0.25">
      <c r="A313" t="str">
        <f t="shared" si="12"/>
        <v>ORD0312</v>
      </c>
      <c r="B313" s="3">
        <v>46315</v>
      </c>
      <c r="C313" t="s">
        <v>89</v>
      </c>
      <c r="D313" t="s">
        <v>72</v>
      </c>
      <c r="E313" t="s">
        <v>38</v>
      </c>
      <c r="F313" t="s">
        <v>35</v>
      </c>
      <c r="G313">
        <v>4</v>
      </c>
      <c r="H313" s="10">
        <f>_xlfn.XLOOKUP(E313,Table18[Product],Table18[Unit_Price])</f>
        <v>170</v>
      </c>
      <c r="I313" s="10">
        <f>_xlfn.XLOOKUP(E313,Table18[Product],Table18[Cost_Price])</f>
        <v>85</v>
      </c>
      <c r="J313" s="10">
        <v>34</v>
      </c>
      <c r="K313" s="10">
        <f t="shared" si="13"/>
        <v>646</v>
      </c>
      <c r="L313" s="10">
        <f t="shared" si="14"/>
        <v>306</v>
      </c>
      <c r="M313" t="s">
        <v>57</v>
      </c>
      <c r="N313" t="s">
        <v>58</v>
      </c>
      <c r="O313" t="s">
        <v>67</v>
      </c>
      <c r="P313">
        <v>4</v>
      </c>
    </row>
    <row r="314" spans="1:16" x14ac:dyDescent="0.25">
      <c r="A314" t="str">
        <f t="shared" si="12"/>
        <v>ORD0313</v>
      </c>
      <c r="B314" s="3">
        <v>46033</v>
      </c>
      <c r="C314" t="s">
        <v>82</v>
      </c>
      <c r="D314" t="s">
        <v>72</v>
      </c>
      <c r="E314" t="s">
        <v>24</v>
      </c>
      <c r="F314" t="s">
        <v>23</v>
      </c>
      <c r="G314">
        <v>2</v>
      </c>
      <c r="H314" s="10">
        <f>_xlfn.XLOOKUP(E314,Table18[Product],Table18[Unit_Price])</f>
        <v>210</v>
      </c>
      <c r="I314" s="10">
        <f>_xlfn.XLOOKUP(E314,Table18[Product],Table18[Cost_Price])</f>
        <v>105</v>
      </c>
      <c r="J314" s="10">
        <v>46</v>
      </c>
      <c r="K314" s="10">
        <f t="shared" si="13"/>
        <v>374</v>
      </c>
      <c r="L314" s="10">
        <f t="shared" si="14"/>
        <v>164</v>
      </c>
      <c r="M314" t="s">
        <v>49</v>
      </c>
      <c r="N314" t="s">
        <v>54</v>
      </c>
      <c r="O314" t="s">
        <v>75</v>
      </c>
      <c r="P314">
        <v>5</v>
      </c>
    </row>
    <row r="315" spans="1:16" x14ac:dyDescent="0.25">
      <c r="A315" t="str">
        <f t="shared" si="12"/>
        <v>ORD0314</v>
      </c>
      <c r="B315" s="3">
        <v>46187</v>
      </c>
      <c r="C315" t="s">
        <v>90</v>
      </c>
      <c r="D315" t="s">
        <v>52</v>
      </c>
      <c r="E315" t="s">
        <v>36</v>
      </c>
      <c r="F315" t="s">
        <v>35</v>
      </c>
      <c r="G315">
        <v>4</v>
      </c>
      <c r="H315" s="10">
        <f>_xlfn.XLOOKUP(E315,Table18[Product],Table18[Unit_Price])</f>
        <v>220</v>
      </c>
      <c r="I315" s="10">
        <f>_xlfn.XLOOKUP(E315,Table18[Product],Table18[Cost_Price])</f>
        <v>110</v>
      </c>
      <c r="J315" s="10">
        <v>19</v>
      </c>
      <c r="K315" s="10">
        <f t="shared" si="13"/>
        <v>861</v>
      </c>
      <c r="L315" s="10">
        <f t="shared" si="14"/>
        <v>421</v>
      </c>
      <c r="M315" t="s">
        <v>57</v>
      </c>
      <c r="N315" t="s">
        <v>50</v>
      </c>
      <c r="O315" t="s">
        <v>62</v>
      </c>
      <c r="P315">
        <v>5</v>
      </c>
    </row>
    <row r="316" spans="1:16" x14ac:dyDescent="0.25">
      <c r="A316" t="str">
        <f t="shared" si="12"/>
        <v>ORD0315</v>
      </c>
      <c r="B316" s="3">
        <v>46122</v>
      </c>
      <c r="C316" t="s">
        <v>90</v>
      </c>
      <c r="D316" t="s">
        <v>63</v>
      </c>
      <c r="E316" t="s">
        <v>20</v>
      </c>
      <c r="F316" t="s">
        <v>17</v>
      </c>
      <c r="G316">
        <v>3</v>
      </c>
      <c r="H316" s="10">
        <f>_xlfn.XLOOKUP(E316,Table18[Product],Table18[Unit_Price])</f>
        <v>150</v>
      </c>
      <c r="I316" s="10">
        <f>_xlfn.XLOOKUP(E316,Table18[Product],Table18[Cost_Price])</f>
        <v>75</v>
      </c>
      <c r="J316" s="10">
        <v>1</v>
      </c>
      <c r="K316" s="10">
        <f t="shared" si="13"/>
        <v>449</v>
      </c>
      <c r="L316" s="10">
        <f t="shared" si="14"/>
        <v>224</v>
      </c>
      <c r="M316" t="s">
        <v>61</v>
      </c>
      <c r="N316" t="s">
        <v>50</v>
      </c>
      <c r="O316" t="s">
        <v>59</v>
      </c>
      <c r="P316">
        <v>5</v>
      </c>
    </row>
    <row r="317" spans="1:16" x14ac:dyDescent="0.25">
      <c r="A317" t="str">
        <f t="shared" si="12"/>
        <v>ORD0316</v>
      </c>
      <c r="B317" s="3">
        <v>46230</v>
      </c>
      <c r="C317" t="s">
        <v>97</v>
      </c>
      <c r="D317" t="s">
        <v>60</v>
      </c>
      <c r="E317" t="s">
        <v>30</v>
      </c>
      <c r="F317" t="s">
        <v>31</v>
      </c>
      <c r="G317">
        <v>3</v>
      </c>
      <c r="H317" s="10">
        <f>_xlfn.XLOOKUP(E317,Table18[Product],Table18[Unit_Price])</f>
        <v>110</v>
      </c>
      <c r="I317" s="10">
        <f>_xlfn.XLOOKUP(E317,Table18[Product],Table18[Cost_Price])</f>
        <v>55</v>
      </c>
      <c r="J317" s="10">
        <v>21</v>
      </c>
      <c r="K317" s="10">
        <f t="shared" si="13"/>
        <v>309</v>
      </c>
      <c r="L317" s="10">
        <f t="shared" si="14"/>
        <v>144</v>
      </c>
      <c r="M317" t="s">
        <v>49</v>
      </c>
      <c r="N317" t="s">
        <v>58</v>
      </c>
      <c r="O317" t="s">
        <v>69</v>
      </c>
      <c r="P317">
        <v>4</v>
      </c>
    </row>
    <row r="318" spans="1:16" x14ac:dyDescent="0.25">
      <c r="A318" t="str">
        <f t="shared" si="12"/>
        <v>ORD0317</v>
      </c>
      <c r="B318" s="3">
        <v>46118</v>
      </c>
      <c r="C318" t="s">
        <v>104</v>
      </c>
      <c r="D318" t="s">
        <v>72</v>
      </c>
      <c r="E318" t="s">
        <v>16</v>
      </c>
      <c r="F318" t="s">
        <v>17</v>
      </c>
      <c r="G318">
        <v>5</v>
      </c>
      <c r="H318" s="10">
        <f>_xlfn.XLOOKUP(E318,Table18[Product],Table18[Unit_Price])</f>
        <v>120</v>
      </c>
      <c r="I318" s="10">
        <f>_xlfn.XLOOKUP(E318,Table18[Product],Table18[Cost_Price])</f>
        <v>60</v>
      </c>
      <c r="J318" s="10">
        <v>5</v>
      </c>
      <c r="K318" s="10">
        <f t="shared" si="13"/>
        <v>595</v>
      </c>
      <c r="L318" s="10">
        <f t="shared" si="14"/>
        <v>295</v>
      </c>
      <c r="M318" t="s">
        <v>57</v>
      </c>
      <c r="N318" t="s">
        <v>58</v>
      </c>
      <c r="O318" t="s">
        <v>71</v>
      </c>
      <c r="P318">
        <v>4</v>
      </c>
    </row>
    <row r="319" spans="1:16" x14ac:dyDescent="0.25">
      <c r="A319" t="str">
        <f t="shared" si="12"/>
        <v>ORD0318</v>
      </c>
      <c r="B319" s="3">
        <v>46150</v>
      </c>
      <c r="C319" t="s">
        <v>99</v>
      </c>
      <c r="D319" t="s">
        <v>74</v>
      </c>
      <c r="E319" t="s">
        <v>33</v>
      </c>
      <c r="F319" t="s">
        <v>31</v>
      </c>
      <c r="G319">
        <v>3</v>
      </c>
      <c r="H319" s="10">
        <f>_xlfn.XLOOKUP(E319,Table18[Product],Table18[Unit_Price])</f>
        <v>150</v>
      </c>
      <c r="I319" s="10">
        <f>_xlfn.XLOOKUP(E319,Table18[Product],Table18[Cost_Price])</f>
        <v>75</v>
      </c>
      <c r="J319" s="10">
        <v>27</v>
      </c>
      <c r="K319" s="10">
        <f t="shared" si="13"/>
        <v>423</v>
      </c>
      <c r="L319" s="10">
        <f t="shared" si="14"/>
        <v>198</v>
      </c>
      <c r="M319" t="s">
        <v>61</v>
      </c>
      <c r="N319" t="s">
        <v>54</v>
      </c>
      <c r="O319" t="s">
        <v>55</v>
      </c>
      <c r="P319">
        <v>4</v>
      </c>
    </row>
    <row r="320" spans="1:16" x14ac:dyDescent="0.25">
      <c r="A320" t="str">
        <f t="shared" si="12"/>
        <v>ORD0319</v>
      </c>
      <c r="B320" s="3">
        <v>46348</v>
      </c>
      <c r="C320" t="s">
        <v>84</v>
      </c>
      <c r="D320" t="s">
        <v>66</v>
      </c>
      <c r="E320" t="s">
        <v>16</v>
      </c>
      <c r="F320" t="s">
        <v>17</v>
      </c>
      <c r="G320">
        <v>3</v>
      </c>
      <c r="H320" s="10">
        <f>_xlfn.XLOOKUP(E320,Table18[Product],Table18[Unit_Price])</f>
        <v>120</v>
      </c>
      <c r="I320" s="10">
        <f>_xlfn.XLOOKUP(E320,Table18[Product],Table18[Cost_Price])</f>
        <v>60</v>
      </c>
      <c r="J320" s="10">
        <v>6</v>
      </c>
      <c r="K320" s="10">
        <f t="shared" si="13"/>
        <v>354</v>
      </c>
      <c r="L320" s="10">
        <f t="shared" si="14"/>
        <v>174</v>
      </c>
      <c r="M320" t="s">
        <v>57</v>
      </c>
      <c r="N320" t="s">
        <v>58</v>
      </c>
      <c r="O320" t="s">
        <v>73</v>
      </c>
      <c r="P320">
        <v>5</v>
      </c>
    </row>
    <row r="321" spans="1:16" x14ac:dyDescent="0.25">
      <c r="A321" t="str">
        <f t="shared" si="12"/>
        <v>ORD0320</v>
      </c>
      <c r="B321" s="3">
        <v>46093</v>
      </c>
      <c r="C321" t="s">
        <v>80</v>
      </c>
      <c r="D321" t="s">
        <v>63</v>
      </c>
      <c r="E321" t="s">
        <v>29</v>
      </c>
      <c r="F321" t="s">
        <v>28</v>
      </c>
      <c r="G321">
        <v>5</v>
      </c>
      <c r="H321" s="10">
        <f>_xlfn.XLOOKUP(E321,Table18[Product],Table18[Unit_Price])</f>
        <v>120</v>
      </c>
      <c r="I321" s="10">
        <f>_xlfn.XLOOKUP(E321,Table18[Product],Table18[Cost_Price])</f>
        <v>60</v>
      </c>
      <c r="J321" s="10">
        <v>23</v>
      </c>
      <c r="K321" s="10">
        <f t="shared" si="13"/>
        <v>577</v>
      </c>
      <c r="L321" s="10">
        <f t="shared" si="14"/>
        <v>277</v>
      </c>
      <c r="M321" t="s">
        <v>49</v>
      </c>
      <c r="N321" t="s">
        <v>50</v>
      </c>
      <c r="O321" t="s">
        <v>62</v>
      </c>
      <c r="P321">
        <v>5</v>
      </c>
    </row>
    <row r="322" spans="1:16" x14ac:dyDescent="0.25">
      <c r="A322" t="str">
        <f t="shared" si="12"/>
        <v>ORD0321</v>
      </c>
      <c r="B322" s="3">
        <v>46367</v>
      </c>
      <c r="C322" t="s">
        <v>105</v>
      </c>
      <c r="D322" t="s">
        <v>66</v>
      </c>
      <c r="E322" t="s">
        <v>22</v>
      </c>
      <c r="F322" t="s">
        <v>23</v>
      </c>
      <c r="G322">
        <v>4</v>
      </c>
      <c r="H322" s="10">
        <f>_xlfn.XLOOKUP(E322,Table18[Product],Table18[Unit_Price])</f>
        <v>190</v>
      </c>
      <c r="I322" s="10">
        <f>_xlfn.XLOOKUP(E322,Table18[Product],Table18[Cost_Price])</f>
        <v>95</v>
      </c>
      <c r="J322" s="10">
        <v>16</v>
      </c>
      <c r="K322" s="10">
        <f t="shared" si="13"/>
        <v>744</v>
      </c>
      <c r="L322" s="10">
        <f t="shared" si="14"/>
        <v>364</v>
      </c>
      <c r="M322" t="s">
        <v>53</v>
      </c>
      <c r="N322" t="s">
        <v>54</v>
      </c>
      <c r="O322" t="s">
        <v>75</v>
      </c>
      <c r="P322">
        <v>5</v>
      </c>
    </row>
    <row r="323" spans="1:16" x14ac:dyDescent="0.25">
      <c r="A323" t="str">
        <f t="shared" ref="A323:A386" si="15">"ORD"&amp;TEXT(ROW()-1,"0000")</f>
        <v>ORD0322</v>
      </c>
      <c r="B323" s="3">
        <v>46293</v>
      </c>
      <c r="C323" t="s">
        <v>85</v>
      </c>
      <c r="D323" t="s">
        <v>72</v>
      </c>
      <c r="E323" t="s">
        <v>25</v>
      </c>
      <c r="F323" t="s">
        <v>26</v>
      </c>
      <c r="G323">
        <v>2</v>
      </c>
      <c r="H323" s="10">
        <f>_xlfn.XLOOKUP(E323,Table18[Product],Table18[Unit_Price])</f>
        <v>170</v>
      </c>
      <c r="I323" s="10">
        <f>_xlfn.XLOOKUP(E323,Table18[Product],Table18[Cost_Price])</f>
        <v>85</v>
      </c>
      <c r="J323" s="10">
        <v>33</v>
      </c>
      <c r="K323" s="10">
        <f t="shared" ref="K323:K386" si="16">(G323*H323)-J323</f>
        <v>307</v>
      </c>
      <c r="L323" s="10">
        <f t="shared" ref="L323:L386" si="17">K323-(G323*I323)</f>
        <v>137</v>
      </c>
      <c r="M323" t="s">
        <v>61</v>
      </c>
      <c r="N323" t="s">
        <v>54</v>
      </c>
      <c r="O323" t="s">
        <v>75</v>
      </c>
      <c r="P323">
        <v>4</v>
      </c>
    </row>
    <row r="324" spans="1:16" x14ac:dyDescent="0.25">
      <c r="A324" t="str">
        <f t="shared" si="15"/>
        <v>ORD0323</v>
      </c>
      <c r="B324" s="3">
        <v>46129</v>
      </c>
      <c r="C324" t="s">
        <v>100</v>
      </c>
      <c r="D324" t="s">
        <v>72</v>
      </c>
      <c r="E324" t="s">
        <v>22</v>
      </c>
      <c r="F324" t="s">
        <v>23</v>
      </c>
      <c r="G324">
        <v>1</v>
      </c>
      <c r="H324" s="10">
        <f>_xlfn.XLOOKUP(E324,Table18[Product],Table18[Unit_Price])</f>
        <v>190</v>
      </c>
      <c r="I324" s="10">
        <f>_xlfn.XLOOKUP(E324,Table18[Product],Table18[Cost_Price])</f>
        <v>95</v>
      </c>
      <c r="J324" s="10">
        <v>25</v>
      </c>
      <c r="K324" s="10">
        <f t="shared" si="16"/>
        <v>165</v>
      </c>
      <c r="L324" s="10">
        <f t="shared" si="17"/>
        <v>70</v>
      </c>
      <c r="M324" t="s">
        <v>64</v>
      </c>
      <c r="N324" t="s">
        <v>54</v>
      </c>
      <c r="O324" t="s">
        <v>55</v>
      </c>
      <c r="P324">
        <v>3</v>
      </c>
    </row>
    <row r="325" spans="1:16" x14ac:dyDescent="0.25">
      <c r="A325" t="str">
        <f t="shared" si="15"/>
        <v>ORD0324</v>
      </c>
      <c r="B325" s="3">
        <v>46214</v>
      </c>
      <c r="C325" t="s">
        <v>105</v>
      </c>
      <c r="D325" t="s">
        <v>63</v>
      </c>
      <c r="E325" t="s">
        <v>34</v>
      </c>
      <c r="F325" t="s">
        <v>35</v>
      </c>
      <c r="G325">
        <v>1</v>
      </c>
      <c r="H325" s="10">
        <f>_xlfn.XLOOKUP(E325,Table18[Product],Table18[Unit_Price])</f>
        <v>180</v>
      </c>
      <c r="I325" s="10">
        <f>_xlfn.XLOOKUP(E325,Table18[Product],Table18[Cost_Price])</f>
        <v>90</v>
      </c>
      <c r="J325" s="10">
        <v>2</v>
      </c>
      <c r="K325" s="10">
        <f t="shared" si="16"/>
        <v>178</v>
      </c>
      <c r="L325" s="10">
        <f t="shared" si="17"/>
        <v>88</v>
      </c>
      <c r="M325" t="s">
        <v>61</v>
      </c>
      <c r="N325" t="s">
        <v>50</v>
      </c>
      <c r="O325" t="s">
        <v>59</v>
      </c>
      <c r="P325">
        <v>5</v>
      </c>
    </row>
    <row r="326" spans="1:16" x14ac:dyDescent="0.25">
      <c r="A326" t="str">
        <f t="shared" si="15"/>
        <v>ORD0325</v>
      </c>
      <c r="B326" s="3">
        <v>46120</v>
      </c>
      <c r="C326" t="s">
        <v>83</v>
      </c>
      <c r="D326" t="s">
        <v>48</v>
      </c>
      <c r="E326" t="s">
        <v>34</v>
      </c>
      <c r="F326" t="s">
        <v>35</v>
      </c>
      <c r="G326">
        <v>2</v>
      </c>
      <c r="H326" s="10">
        <f>_xlfn.XLOOKUP(E326,Table18[Product],Table18[Unit_Price])</f>
        <v>180</v>
      </c>
      <c r="I326" s="10">
        <f>_xlfn.XLOOKUP(E326,Table18[Product],Table18[Cost_Price])</f>
        <v>90</v>
      </c>
      <c r="J326" s="10">
        <v>15</v>
      </c>
      <c r="K326" s="10">
        <f t="shared" si="16"/>
        <v>345</v>
      </c>
      <c r="L326" s="10">
        <f t="shared" si="17"/>
        <v>165</v>
      </c>
      <c r="M326" t="s">
        <v>61</v>
      </c>
      <c r="N326" t="s">
        <v>50</v>
      </c>
      <c r="O326" t="s">
        <v>51</v>
      </c>
      <c r="P326">
        <v>3</v>
      </c>
    </row>
    <row r="327" spans="1:16" x14ac:dyDescent="0.25">
      <c r="A327" t="str">
        <f t="shared" si="15"/>
        <v>ORD0326</v>
      </c>
      <c r="B327" s="3">
        <v>46383</v>
      </c>
      <c r="C327" t="s">
        <v>89</v>
      </c>
      <c r="D327" t="s">
        <v>63</v>
      </c>
      <c r="E327" t="s">
        <v>24</v>
      </c>
      <c r="F327" t="s">
        <v>23</v>
      </c>
      <c r="G327">
        <v>3</v>
      </c>
      <c r="H327" s="10">
        <f>_xlfn.XLOOKUP(E327,Table18[Product],Table18[Unit_Price])</f>
        <v>210</v>
      </c>
      <c r="I327" s="10">
        <f>_xlfn.XLOOKUP(E327,Table18[Product],Table18[Cost_Price])</f>
        <v>105</v>
      </c>
      <c r="J327" s="10">
        <v>44</v>
      </c>
      <c r="K327" s="10">
        <f t="shared" si="16"/>
        <v>586</v>
      </c>
      <c r="L327" s="10">
        <f t="shared" si="17"/>
        <v>271</v>
      </c>
      <c r="M327" t="s">
        <v>57</v>
      </c>
      <c r="N327" t="s">
        <v>58</v>
      </c>
      <c r="O327" t="s">
        <v>71</v>
      </c>
      <c r="P327">
        <v>3</v>
      </c>
    </row>
    <row r="328" spans="1:16" x14ac:dyDescent="0.25">
      <c r="A328" t="str">
        <f t="shared" si="15"/>
        <v>ORD0327</v>
      </c>
      <c r="B328" s="3">
        <v>46329</v>
      </c>
      <c r="C328" t="s">
        <v>80</v>
      </c>
      <c r="D328" t="s">
        <v>56</v>
      </c>
      <c r="E328" t="s">
        <v>42</v>
      </c>
      <c r="F328" t="s">
        <v>40</v>
      </c>
      <c r="G328">
        <v>2</v>
      </c>
      <c r="H328" s="10">
        <f>_xlfn.XLOOKUP(E328,Table18[Product],Table18[Unit_Price])</f>
        <v>80</v>
      </c>
      <c r="I328" s="10">
        <f>_xlfn.XLOOKUP(E328,Table18[Product],Table18[Cost_Price])</f>
        <v>40</v>
      </c>
      <c r="J328" s="10">
        <v>5</v>
      </c>
      <c r="K328" s="10">
        <f t="shared" si="16"/>
        <v>155</v>
      </c>
      <c r="L328" s="10">
        <f t="shared" si="17"/>
        <v>75</v>
      </c>
      <c r="M328" t="s">
        <v>53</v>
      </c>
      <c r="N328" t="s">
        <v>58</v>
      </c>
      <c r="O328" t="s">
        <v>55</v>
      </c>
      <c r="P328">
        <v>3</v>
      </c>
    </row>
    <row r="329" spans="1:16" x14ac:dyDescent="0.25">
      <c r="A329" t="str">
        <f t="shared" si="15"/>
        <v>ORD0328</v>
      </c>
      <c r="B329" s="3">
        <v>46096</v>
      </c>
      <c r="C329" t="s">
        <v>84</v>
      </c>
      <c r="D329" t="s">
        <v>63</v>
      </c>
      <c r="E329" t="s">
        <v>21</v>
      </c>
      <c r="F329" t="s">
        <v>17</v>
      </c>
      <c r="G329">
        <v>4</v>
      </c>
      <c r="H329" s="10">
        <f>_xlfn.XLOOKUP(E329,Table18[Product],Table18[Unit_Price])</f>
        <v>220</v>
      </c>
      <c r="I329" s="10">
        <f>_xlfn.XLOOKUP(E329,Table18[Product],Table18[Cost_Price])</f>
        <v>110</v>
      </c>
      <c r="J329" s="10">
        <v>30</v>
      </c>
      <c r="K329" s="10">
        <f t="shared" si="16"/>
        <v>850</v>
      </c>
      <c r="L329" s="10">
        <f t="shared" si="17"/>
        <v>410</v>
      </c>
      <c r="M329" t="s">
        <v>61</v>
      </c>
      <c r="N329" t="s">
        <v>50</v>
      </c>
      <c r="O329" t="s">
        <v>51</v>
      </c>
      <c r="P329">
        <v>5</v>
      </c>
    </row>
    <row r="330" spans="1:16" x14ac:dyDescent="0.25">
      <c r="A330" t="str">
        <f t="shared" si="15"/>
        <v>ORD0329</v>
      </c>
      <c r="B330" s="3">
        <v>46083</v>
      </c>
      <c r="C330" t="s">
        <v>91</v>
      </c>
      <c r="D330" t="s">
        <v>60</v>
      </c>
      <c r="E330" t="s">
        <v>36</v>
      </c>
      <c r="F330" t="s">
        <v>35</v>
      </c>
      <c r="G330">
        <v>1</v>
      </c>
      <c r="H330" s="10">
        <f>_xlfn.XLOOKUP(E330,Table18[Product],Table18[Unit_Price])</f>
        <v>220</v>
      </c>
      <c r="I330" s="10">
        <f>_xlfn.XLOOKUP(E330,Table18[Product],Table18[Cost_Price])</f>
        <v>110</v>
      </c>
      <c r="J330" s="10">
        <v>23</v>
      </c>
      <c r="K330" s="10">
        <f t="shared" si="16"/>
        <v>197</v>
      </c>
      <c r="L330" s="10">
        <f t="shared" si="17"/>
        <v>87</v>
      </c>
      <c r="M330" t="s">
        <v>53</v>
      </c>
      <c r="N330" t="s">
        <v>50</v>
      </c>
      <c r="O330" t="s">
        <v>51</v>
      </c>
      <c r="P330">
        <v>3</v>
      </c>
    </row>
    <row r="331" spans="1:16" x14ac:dyDescent="0.25">
      <c r="A331" t="str">
        <f t="shared" si="15"/>
        <v>ORD0330</v>
      </c>
      <c r="B331" s="3">
        <v>46033</v>
      </c>
      <c r="C331" t="s">
        <v>96</v>
      </c>
      <c r="D331" t="s">
        <v>48</v>
      </c>
      <c r="E331" t="s">
        <v>32</v>
      </c>
      <c r="F331" t="s">
        <v>31</v>
      </c>
      <c r="G331">
        <v>1</v>
      </c>
      <c r="H331" s="10">
        <f>_xlfn.XLOOKUP(E331,Table18[Product],Table18[Unit_Price])</f>
        <v>130</v>
      </c>
      <c r="I331" s="10">
        <f>_xlfn.XLOOKUP(E331,Table18[Product],Table18[Cost_Price])</f>
        <v>65</v>
      </c>
      <c r="J331" s="10">
        <v>49</v>
      </c>
      <c r="K331" s="10">
        <f t="shared" si="16"/>
        <v>81</v>
      </c>
      <c r="L331" s="10">
        <f t="shared" si="17"/>
        <v>16</v>
      </c>
      <c r="M331" t="s">
        <v>53</v>
      </c>
      <c r="N331" t="s">
        <v>54</v>
      </c>
      <c r="O331" t="s">
        <v>69</v>
      </c>
      <c r="P331">
        <v>5</v>
      </c>
    </row>
    <row r="332" spans="1:16" x14ac:dyDescent="0.25">
      <c r="A332" t="str">
        <f t="shared" si="15"/>
        <v>ORD0331</v>
      </c>
      <c r="B332" s="3">
        <v>46319</v>
      </c>
      <c r="C332" t="s">
        <v>85</v>
      </c>
      <c r="D332" t="s">
        <v>70</v>
      </c>
      <c r="E332" t="s">
        <v>16</v>
      </c>
      <c r="F332" t="s">
        <v>17</v>
      </c>
      <c r="G332">
        <v>4</v>
      </c>
      <c r="H332" s="10">
        <f>_xlfn.XLOOKUP(E332,Table18[Product],Table18[Unit_Price])</f>
        <v>120</v>
      </c>
      <c r="I332" s="10">
        <f>_xlfn.XLOOKUP(E332,Table18[Product],Table18[Cost_Price])</f>
        <v>60</v>
      </c>
      <c r="J332" s="10">
        <v>48</v>
      </c>
      <c r="K332" s="10">
        <f t="shared" si="16"/>
        <v>432</v>
      </c>
      <c r="L332" s="10">
        <f t="shared" si="17"/>
        <v>192</v>
      </c>
      <c r="M332" t="s">
        <v>61</v>
      </c>
      <c r="N332" t="s">
        <v>58</v>
      </c>
      <c r="O332" t="s">
        <v>69</v>
      </c>
      <c r="P332">
        <v>3</v>
      </c>
    </row>
    <row r="333" spans="1:16" x14ac:dyDescent="0.25">
      <c r="A333" t="str">
        <f t="shared" si="15"/>
        <v>ORD0332</v>
      </c>
      <c r="B333" s="3">
        <v>46348</v>
      </c>
      <c r="C333" t="s">
        <v>88</v>
      </c>
      <c r="D333" t="s">
        <v>70</v>
      </c>
      <c r="E333" t="s">
        <v>25</v>
      </c>
      <c r="F333" t="s">
        <v>26</v>
      </c>
      <c r="G333">
        <v>4</v>
      </c>
      <c r="H333" s="10">
        <f>_xlfn.XLOOKUP(E333,Table18[Product],Table18[Unit_Price])</f>
        <v>170</v>
      </c>
      <c r="I333" s="10">
        <f>_xlfn.XLOOKUP(E333,Table18[Product],Table18[Cost_Price])</f>
        <v>85</v>
      </c>
      <c r="J333" s="10">
        <v>37</v>
      </c>
      <c r="K333" s="10">
        <f t="shared" si="16"/>
        <v>643</v>
      </c>
      <c r="L333" s="10">
        <f t="shared" si="17"/>
        <v>303</v>
      </c>
      <c r="M333" t="s">
        <v>57</v>
      </c>
      <c r="N333" t="s">
        <v>54</v>
      </c>
      <c r="O333" t="s">
        <v>51</v>
      </c>
      <c r="P333">
        <v>5</v>
      </c>
    </row>
    <row r="334" spans="1:16" x14ac:dyDescent="0.25">
      <c r="A334" t="str">
        <f t="shared" si="15"/>
        <v>ORD0333</v>
      </c>
      <c r="B334" s="3">
        <v>46109</v>
      </c>
      <c r="C334" t="s">
        <v>98</v>
      </c>
      <c r="D334" t="s">
        <v>74</v>
      </c>
      <c r="E334" t="s">
        <v>27</v>
      </c>
      <c r="F334" t="s">
        <v>28</v>
      </c>
      <c r="G334">
        <v>4</v>
      </c>
      <c r="H334" s="10">
        <f>_xlfn.XLOOKUP(E334,Table18[Product],Table18[Unit_Price])</f>
        <v>140</v>
      </c>
      <c r="I334" s="10">
        <f>_xlfn.XLOOKUP(E334,Table18[Product],Table18[Cost_Price])</f>
        <v>70</v>
      </c>
      <c r="J334" s="10">
        <v>49</v>
      </c>
      <c r="K334" s="10">
        <f t="shared" si="16"/>
        <v>511</v>
      </c>
      <c r="L334" s="10">
        <f t="shared" si="17"/>
        <v>231</v>
      </c>
      <c r="M334" t="s">
        <v>53</v>
      </c>
      <c r="N334" t="s">
        <v>58</v>
      </c>
      <c r="O334" t="s">
        <v>65</v>
      </c>
      <c r="P334">
        <v>4</v>
      </c>
    </row>
    <row r="335" spans="1:16" x14ac:dyDescent="0.25">
      <c r="A335" t="str">
        <f t="shared" si="15"/>
        <v>ORD0334</v>
      </c>
      <c r="B335" s="3">
        <v>46312</v>
      </c>
      <c r="C335" t="s">
        <v>103</v>
      </c>
      <c r="D335" t="s">
        <v>72</v>
      </c>
      <c r="E335" t="s">
        <v>41</v>
      </c>
      <c r="F335" t="s">
        <v>40</v>
      </c>
      <c r="G335">
        <v>3</v>
      </c>
      <c r="H335" s="10">
        <f>_xlfn.XLOOKUP(E335,Table18[Product],Table18[Unit_Price])</f>
        <v>100</v>
      </c>
      <c r="I335" s="10">
        <f>_xlfn.XLOOKUP(E335,Table18[Product],Table18[Cost_Price])</f>
        <v>50</v>
      </c>
      <c r="J335" s="10">
        <v>40</v>
      </c>
      <c r="K335" s="10">
        <f t="shared" si="16"/>
        <v>260</v>
      </c>
      <c r="L335" s="10">
        <f t="shared" si="17"/>
        <v>110</v>
      </c>
      <c r="M335" t="s">
        <v>61</v>
      </c>
      <c r="N335" t="s">
        <v>58</v>
      </c>
      <c r="O335" t="s">
        <v>51</v>
      </c>
      <c r="P335">
        <v>4</v>
      </c>
    </row>
    <row r="336" spans="1:16" x14ac:dyDescent="0.25">
      <c r="A336" t="str">
        <f t="shared" si="15"/>
        <v>ORD0335</v>
      </c>
      <c r="B336" s="3">
        <v>46024</v>
      </c>
      <c r="C336" t="s">
        <v>99</v>
      </c>
      <c r="D336" t="s">
        <v>68</v>
      </c>
      <c r="E336" t="s">
        <v>30</v>
      </c>
      <c r="F336" t="s">
        <v>31</v>
      </c>
      <c r="G336">
        <v>1</v>
      </c>
      <c r="H336" s="10">
        <f>_xlfn.XLOOKUP(E336,Table18[Product],Table18[Unit_Price])</f>
        <v>110</v>
      </c>
      <c r="I336" s="10">
        <f>_xlfn.XLOOKUP(E336,Table18[Product],Table18[Cost_Price])</f>
        <v>55</v>
      </c>
      <c r="J336" s="10">
        <v>12</v>
      </c>
      <c r="K336" s="10">
        <f t="shared" si="16"/>
        <v>98</v>
      </c>
      <c r="L336" s="10">
        <f t="shared" si="17"/>
        <v>43</v>
      </c>
      <c r="M336" t="s">
        <v>61</v>
      </c>
      <c r="N336" t="s">
        <v>58</v>
      </c>
      <c r="O336" t="s">
        <v>59</v>
      </c>
      <c r="P336">
        <v>3</v>
      </c>
    </row>
    <row r="337" spans="1:16" x14ac:dyDescent="0.25">
      <c r="A337" t="str">
        <f t="shared" si="15"/>
        <v>ORD0336</v>
      </c>
      <c r="B337" s="3">
        <v>46024</v>
      </c>
      <c r="C337" t="s">
        <v>97</v>
      </c>
      <c r="D337" t="s">
        <v>66</v>
      </c>
      <c r="E337" t="s">
        <v>30</v>
      </c>
      <c r="F337" t="s">
        <v>31</v>
      </c>
      <c r="G337">
        <v>2</v>
      </c>
      <c r="H337" s="10">
        <f>_xlfn.XLOOKUP(E337,Table18[Product],Table18[Unit_Price])</f>
        <v>110</v>
      </c>
      <c r="I337" s="10">
        <f>_xlfn.XLOOKUP(E337,Table18[Product],Table18[Cost_Price])</f>
        <v>55</v>
      </c>
      <c r="J337" s="10">
        <v>32</v>
      </c>
      <c r="K337" s="10">
        <f t="shared" si="16"/>
        <v>188</v>
      </c>
      <c r="L337" s="10">
        <f t="shared" si="17"/>
        <v>78</v>
      </c>
      <c r="M337" t="s">
        <v>64</v>
      </c>
      <c r="N337" t="s">
        <v>54</v>
      </c>
      <c r="O337" t="s">
        <v>75</v>
      </c>
      <c r="P337">
        <v>3</v>
      </c>
    </row>
    <row r="338" spans="1:16" x14ac:dyDescent="0.25">
      <c r="A338" t="str">
        <f t="shared" si="15"/>
        <v>ORD0337</v>
      </c>
      <c r="B338" s="3">
        <v>46032</v>
      </c>
      <c r="C338" t="s">
        <v>103</v>
      </c>
      <c r="D338" t="s">
        <v>70</v>
      </c>
      <c r="E338" t="s">
        <v>37</v>
      </c>
      <c r="F338" t="s">
        <v>35</v>
      </c>
      <c r="G338">
        <v>4</v>
      </c>
      <c r="H338" s="10">
        <f>_xlfn.XLOOKUP(E338,Table18[Product],Table18[Unit_Price])</f>
        <v>160</v>
      </c>
      <c r="I338" s="10">
        <f>_xlfn.XLOOKUP(E338,Table18[Product],Table18[Cost_Price])</f>
        <v>80</v>
      </c>
      <c r="J338" s="10">
        <v>30</v>
      </c>
      <c r="K338" s="10">
        <f t="shared" si="16"/>
        <v>610</v>
      </c>
      <c r="L338" s="10">
        <f t="shared" si="17"/>
        <v>290</v>
      </c>
      <c r="M338" t="s">
        <v>57</v>
      </c>
      <c r="N338" t="s">
        <v>54</v>
      </c>
      <c r="O338" t="s">
        <v>62</v>
      </c>
      <c r="P338">
        <v>5</v>
      </c>
    </row>
    <row r="339" spans="1:16" x14ac:dyDescent="0.25">
      <c r="A339" t="str">
        <f t="shared" si="15"/>
        <v>ORD0338</v>
      </c>
      <c r="B339" s="3">
        <v>46049</v>
      </c>
      <c r="C339" t="s">
        <v>101</v>
      </c>
      <c r="D339" t="s">
        <v>68</v>
      </c>
      <c r="E339" t="s">
        <v>42</v>
      </c>
      <c r="F339" t="s">
        <v>40</v>
      </c>
      <c r="G339">
        <v>3</v>
      </c>
      <c r="H339" s="10">
        <f>_xlfn.XLOOKUP(E339,Table18[Product],Table18[Unit_Price])</f>
        <v>80</v>
      </c>
      <c r="I339" s="10">
        <f>_xlfn.XLOOKUP(E339,Table18[Product],Table18[Cost_Price])</f>
        <v>40</v>
      </c>
      <c r="J339" s="10">
        <v>47</v>
      </c>
      <c r="K339" s="10">
        <f t="shared" si="16"/>
        <v>193</v>
      </c>
      <c r="L339" s="10">
        <f t="shared" si="17"/>
        <v>73</v>
      </c>
      <c r="M339" t="s">
        <v>49</v>
      </c>
      <c r="N339" t="s">
        <v>54</v>
      </c>
      <c r="O339" t="s">
        <v>71</v>
      </c>
      <c r="P339">
        <v>3</v>
      </c>
    </row>
    <row r="340" spans="1:16" x14ac:dyDescent="0.25">
      <c r="A340" t="str">
        <f t="shared" si="15"/>
        <v>ORD0339</v>
      </c>
      <c r="B340" s="3">
        <v>46167</v>
      </c>
      <c r="C340" t="s">
        <v>103</v>
      </c>
      <c r="D340" t="s">
        <v>48</v>
      </c>
      <c r="E340" t="s">
        <v>33</v>
      </c>
      <c r="F340" t="s">
        <v>31</v>
      </c>
      <c r="G340">
        <v>5</v>
      </c>
      <c r="H340" s="10">
        <f>_xlfn.XLOOKUP(E340,Table18[Product],Table18[Unit_Price])</f>
        <v>150</v>
      </c>
      <c r="I340" s="10">
        <f>_xlfn.XLOOKUP(E340,Table18[Product],Table18[Cost_Price])</f>
        <v>75</v>
      </c>
      <c r="J340" s="10">
        <v>15</v>
      </c>
      <c r="K340" s="10">
        <f t="shared" si="16"/>
        <v>735</v>
      </c>
      <c r="L340" s="10">
        <f t="shared" si="17"/>
        <v>360</v>
      </c>
      <c r="M340" t="s">
        <v>53</v>
      </c>
      <c r="N340" t="s">
        <v>54</v>
      </c>
      <c r="O340" t="s">
        <v>71</v>
      </c>
      <c r="P340">
        <v>3</v>
      </c>
    </row>
    <row r="341" spans="1:16" x14ac:dyDescent="0.25">
      <c r="A341" t="str">
        <f t="shared" si="15"/>
        <v>ORD0340</v>
      </c>
      <c r="B341" s="3">
        <v>46056</v>
      </c>
      <c r="C341" t="s">
        <v>79</v>
      </c>
      <c r="D341" t="s">
        <v>70</v>
      </c>
      <c r="E341" t="s">
        <v>34</v>
      </c>
      <c r="F341" t="s">
        <v>35</v>
      </c>
      <c r="G341">
        <v>5</v>
      </c>
      <c r="H341" s="10">
        <f>_xlfn.XLOOKUP(E341,Table18[Product],Table18[Unit_Price])</f>
        <v>180</v>
      </c>
      <c r="I341" s="10">
        <f>_xlfn.XLOOKUP(E341,Table18[Product],Table18[Cost_Price])</f>
        <v>90</v>
      </c>
      <c r="J341" s="10">
        <v>26</v>
      </c>
      <c r="K341" s="10">
        <f t="shared" si="16"/>
        <v>874</v>
      </c>
      <c r="L341" s="10">
        <f t="shared" si="17"/>
        <v>424</v>
      </c>
      <c r="M341" t="s">
        <v>49</v>
      </c>
      <c r="N341" t="s">
        <v>50</v>
      </c>
      <c r="O341" t="s">
        <v>65</v>
      </c>
      <c r="P341">
        <v>3</v>
      </c>
    </row>
    <row r="342" spans="1:16" x14ac:dyDescent="0.25">
      <c r="A342" t="str">
        <f t="shared" si="15"/>
        <v>ORD0341</v>
      </c>
      <c r="B342" s="3">
        <v>46218</v>
      </c>
      <c r="C342" t="s">
        <v>79</v>
      </c>
      <c r="D342" t="s">
        <v>52</v>
      </c>
      <c r="E342" t="s">
        <v>38</v>
      </c>
      <c r="F342" t="s">
        <v>35</v>
      </c>
      <c r="G342">
        <v>2</v>
      </c>
      <c r="H342" s="10">
        <f>_xlfn.XLOOKUP(E342,Table18[Product],Table18[Unit_Price])</f>
        <v>170</v>
      </c>
      <c r="I342" s="10">
        <f>_xlfn.XLOOKUP(E342,Table18[Product],Table18[Cost_Price])</f>
        <v>85</v>
      </c>
      <c r="J342" s="10">
        <v>8</v>
      </c>
      <c r="K342" s="10">
        <f t="shared" si="16"/>
        <v>332</v>
      </c>
      <c r="L342" s="10">
        <f t="shared" si="17"/>
        <v>162</v>
      </c>
      <c r="M342" t="s">
        <v>49</v>
      </c>
      <c r="N342" t="s">
        <v>58</v>
      </c>
      <c r="O342" t="s">
        <v>73</v>
      </c>
      <c r="P342">
        <v>5</v>
      </c>
    </row>
    <row r="343" spans="1:16" x14ac:dyDescent="0.25">
      <c r="A343" t="str">
        <f t="shared" si="15"/>
        <v>ORD0342</v>
      </c>
      <c r="B343" s="3">
        <v>46360</v>
      </c>
      <c r="C343" t="s">
        <v>102</v>
      </c>
      <c r="D343" t="s">
        <v>60</v>
      </c>
      <c r="E343" t="s">
        <v>24</v>
      </c>
      <c r="F343" t="s">
        <v>23</v>
      </c>
      <c r="G343">
        <v>2</v>
      </c>
      <c r="H343" s="10">
        <f>_xlfn.XLOOKUP(E343,Table18[Product],Table18[Unit_Price])</f>
        <v>210</v>
      </c>
      <c r="I343" s="10">
        <f>_xlfn.XLOOKUP(E343,Table18[Product],Table18[Cost_Price])</f>
        <v>105</v>
      </c>
      <c r="J343" s="10">
        <v>29</v>
      </c>
      <c r="K343" s="10">
        <f t="shared" si="16"/>
        <v>391</v>
      </c>
      <c r="L343" s="10">
        <f t="shared" si="17"/>
        <v>181</v>
      </c>
      <c r="M343" t="s">
        <v>61</v>
      </c>
      <c r="N343" t="s">
        <v>58</v>
      </c>
      <c r="O343" t="s">
        <v>65</v>
      </c>
      <c r="P343">
        <v>5</v>
      </c>
    </row>
    <row r="344" spans="1:16" x14ac:dyDescent="0.25">
      <c r="A344" t="str">
        <f t="shared" si="15"/>
        <v>ORD0343</v>
      </c>
      <c r="B344" s="3">
        <v>46138</v>
      </c>
      <c r="C344" t="s">
        <v>90</v>
      </c>
      <c r="D344" t="s">
        <v>70</v>
      </c>
      <c r="E344" t="s">
        <v>34</v>
      </c>
      <c r="F344" t="s">
        <v>35</v>
      </c>
      <c r="G344">
        <v>4</v>
      </c>
      <c r="H344" s="10">
        <f>_xlfn.XLOOKUP(E344,Table18[Product],Table18[Unit_Price])</f>
        <v>180</v>
      </c>
      <c r="I344" s="10">
        <f>_xlfn.XLOOKUP(E344,Table18[Product],Table18[Cost_Price])</f>
        <v>90</v>
      </c>
      <c r="J344" s="10">
        <v>19</v>
      </c>
      <c r="K344" s="10">
        <f t="shared" si="16"/>
        <v>701</v>
      </c>
      <c r="L344" s="10">
        <f t="shared" si="17"/>
        <v>341</v>
      </c>
      <c r="M344" t="s">
        <v>53</v>
      </c>
      <c r="N344" t="s">
        <v>58</v>
      </c>
      <c r="O344" t="s">
        <v>69</v>
      </c>
      <c r="P344">
        <v>4</v>
      </c>
    </row>
    <row r="345" spans="1:16" x14ac:dyDescent="0.25">
      <c r="A345" t="str">
        <f t="shared" si="15"/>
        <v>ORD0344</v>
      </c>
      <c r="B345" s="3">
        <v>46271</v>
      </c>
      <c r="C345" t="s">
        <v>85</v>
      </c>
      <c r="D345" t="s">
        <v>66</v>
      </c>
      <c r="E345" t="s">
        <v>38</v>
      </c>
      <c r="F345" t="s">
        <v>35</v>
      </c>
      <c r="G345">
        <v>1</v>
      </c>
      <c r="H345" s="10">
        <f>_xlfn.XLOOKUP(E345,Table18[Product],Table18[Unit_Price])</f>
        <v>170</v>
      </c>
      <c r="I345" s="10">
        <f>_xlfn.XLOOKUP(E345,Table18[Product],Table18[Cost_Price])</f>
        <v>85</v>
      </c>
      <c r="J345" s="10">
        <v>29</v>
      </c>
      <c r="K345" s="10">
        <f t="shared" si="16"/>
        <v>141</v>
      </c>
      <c r="L345" s="10">
        <f t="shared" si="17"/>
        <v>56</v>
      </c>
      <c r="M345" t="s">
        <v>61</v>
      </c>
      <c r="N345" t="s">
        <v>58</v>
      </c>
      <c r="O345" t="s">
        <v>71</v>
      </c>
      <c r="P345">
        <v>4</v>
      </c>
    </row>
    <row r="346" spans="1:16" x14ac:dyDescent="0.25">
      <c r="A346" t="str">
        <f t="shared" si="15"/>
        <v>ORD0345</v>
      </c>
      <c r="B346" s="3">
        <v>46068</v>
      </c>
      <c r="C346" t="s">
        <v>96</v>
      </c>
      <c r="D346" t="s">
        <v>52</v>
      </c>
      <c r="E346" t="s">
        <v>29</v>
      </c>
      <c r="F346" t="s">
        <v>28</v>
      </c>
      <c r="G346">
        <v>2</v>
      </c>
      <c r="H346" s="10">
        <f>_xlfn.XLOOKUP(E346,Table18[Product],Table18[Unit_Price])</f>
        <v>120</v>
      </c>
      <c r="I346" s="10">
        <f>_xlfn.XLOOKUP(E346,Table18[Product],Table18[Cost_Price])</f>
        <v>60</v>
      </c>
      <c r="J346" s="10">
        <v>12</v>
      </c>
      <c r="K346" s="10">
        <f t="shared" si="16"/>
        <v>228</v>
      </c>
      <c r="L346" s="10">
        <f t="shared" si="17"/>
        <v>108</v>
      </c>
      <c r="M346" t="s">
        <v>49</v>
      </c>
      <c r="N346" t="s">
        <v>50</v>
      </c>
      <c r="O346" t="s">
        <v>59</v>
      </c>
      <c r="P346">
        <v>4</v>
      </c>
    </row>
    <row r="347" spans="1:16" x14ac:dyDescent="0.25">
      <c r="A347" t="str">
        <f t="shared" si="15"/>
        <v>ORD0346</v>
      </c>
      <c r="B347" s="3">
        <v>46137</v>
      </c>
      <c r="C347" t="s">
        <v>76</v>
      </c>
      <c r="D347" t="s">
        <v>66</v>
      </c>
      <c r="E347" t="s">
        <v>27</v>
      </c>
      <c r="F347" t="s">
        <v>28</v>
      </c>
      <c r="G347">
        <v>2</v>
      </c>
      <c r="H347" s="10">
        <f>_xlfn.XLOOKUP(E347,Table18[Product],Table18[Unit_Price])</f>
        <v>140</v>
      </c>
      <c r="I347" s="10">
        <f>_xlfn.XLOOKUP(E347,Table18[Product],Table18[Cost_Price])</f>
        <v>70</v>
      </c>
      <c r="J347" s="10">
        <v>43</v>
      </c>
      <c r="K347" s="10">
        <f t="shared" si="16"/>
        <v>237</v>
      </c>
      <c r="L347" s="10">
        <f t="shared" si="17"/>
        <v>97</v>
      </c>
      <c r="M347" t="s">
        <v>57</v>
      </c>
      <c r="N347" t="s">
        <v>58</v>
      </c>
      <c r="O347" t="s">
        <v>69</v>
      </c>
      <c r="P347">
        <v>5</v>
      </c>
    </row>
    <row r="348" spans="1:16" x14ac:dyDescent="0.25">
      <c r="A348" t="str">
        <f t="shared" si="15"/>
        <v>ORD0347</v>
      </c>
      <c r="B348" s="3">
        <v>46126</v>
      </c>
      <c r="C348" t="s">
        <v>97</v>
      </c>
      <c r="D348" t="s">
        <v>66</v>
      </c>
      <c r="E348" t="s">
        <v>32</v>
      </c>
      <c r="F348" t="s">
        <v>31</v>
      </c>
      <c r="G348">
        <v>2</v>
      </c>
      <c r="H348" s="10">
        <f>_xlfn.XLOOKUP(E348,Table18[Product],Table18[Unit_Price])</f>
        <v>130</v>
      </c>
      <c r="I348" s="10">
        <f>_xlfn.XLOOKUP(E348,Table18[Product],Table18[Cost_Price])</f>
        <v>65</v>
      </c>
      <c r="J348" s="10">
        <v>29</v>
      </c>
      <c r="K348" s="10">
        <f t="shared" si="16"/>
        <v>231</v>
      </c>
      <c r="L348" s="10">
        <f t="shared" si="17"/>
        <v>101</v>
      </c>
      <c r="M348" t="s">
        <v>64</v>
      </c>
      <c r="N348" t="s">
        <v>50</v>
      </c>
      <c r="O348" t="s">
        <v>75</v>
      </c>
      <c r="P348">
        <v>5</v>
      </c>
    </row>
    <row r="349" spans="1:16" x14ac:dyDescent="0.25">
      <c r="A349" t="str">
        <f t="shared" si="15"/>
        <v>ORD0348</v>
      </c>
      <c r="B349" s="3">
        <v>46169</v>
      </c>
      <c r="C349" t="s">
        <v>84</v>
      </c>
      <c r="D349" t="s">
        <v>66</v>
      </c>
      <c r="E349" t="s">
        <v>37</v>
      </c>
      <c r="F349" t="s">
        <v>35</v>
      </c>
      <c r="G349">
        <v>2</v>
      </c>
      <c r="H349" s="10">
        <f>_xlfn.XLOOKUP(E349,Table18[Product],Table18[Unit_Price])</f>
        <v>160</v>
      </c>
      <c r="I349" s="10">
        <f>_xlfn.XLOOKUP(E349,Table18[Product],Table18[Cost_Price])</f>
        <v>80</v>
      </c>
      <c r="J349" s="10">
        <v>49</v>
      </c>
      <c r="K349" s="10">
        <f t="shared" si="16"/>
        <v>271</v>
      </c>
      <c r="L349" s="10">
        <f t="shared" si="17"/>
        <v>111</v>
      </c>
      <c r="M349" t="s">
        <v>64</v>
      </c>
      <c r="N349" t="s">
        <v>58</v>
      </c>
      <c r="O349" t="s">
        <v>59</v>
      </c>
      <c r="P349">
        <v>5</v>
      </c>
    </row>
    <row r="350" spans="1:16" x14ac:dyDescent="0.25">
      <c r="A350" t="str">
        <f t="shared" si="15"/>
        <v>ORD0349</v>
      </c>
      <c r="B350" s="3">
        <v>46334</v>
      </c>
      <c r="C350" t="s">
        <v>101</v>
      </c>
      <c r="D350" t="s">
        <v>70</v>
      </c>
      <c r="E350" t="s">
        <v>18</v>
      </c>
      <c r="F350" t="s">
        <v>17</v>
      </c>
      <c r="G350">
        <v>3</v>
      </c>
      <c r="H350" s="10">
        <f>_xlfn.XLOOKUP(E350,Table18[Product],Table18[Unit_Price])</f>
        <v>180</v>
      </c>
      <c r="I350" s="10">
        <f>_xlfn.XLOOKUP(E350,Table18[Product],Table18[Cost_Price])</f>
        <v>90</v>
      </c>
      <c r="J350" s="10">
        <v>9</v>
      </c>
      <c r="K350" s="10">
        <f t="shared" si="16"/>
        <v>531</v>
      </c>
      <c r="L350" s="10">
        <f t="shared" si="17"/>
        <v>261</v>
      </c>
      <c r="M350" t="s">
        <v>57</v>
      </c>
      <c r="N350" t="s">
        <v>50</v>
      </c>
      <c r="O350" t="s">
        <v>51</v>
      </c>
      <c r="P350">
        <v>4</v>
      </c>
    </row>
    <row r="351" spans="1:16" x14ac:dyDescent="0.25">
      <c r="A351" t="str">
        <f t="shared" si="15"/>
        <v>ORD0350</v>
      </c>
      <c r="B351" s="3">
        <v>46333</v>
      </c>
      <c r="C351" t="s">
        <v>86</v>
      </c>
      <c r="D351" t="s">
        <v>52</v>
      </c>
      <c r="E351" t="s">
        <v>32</v>
      </c>
      <c r="F351" t="s">
        <v>31</v>
      </c>
      <c r="G351">
        <v>5</v>
      </c>
      <c r="H351" s="10">
        <f>_xlfn.XLOOKUP(E351,Table18[Product],Table18[Unit_Price])</f>
        <v>130</v>
      </c>
      <c r="I351" s="10">
        <f>_xlfn.XLOOKUP(E351,Table18[Product],Table18[Cost_Price])</f>
        <v>65</v>
      </c>
      <c r="J351" s="10">
        <v>49</v>
      </c>
      <c r="K351" s="10">
        <f t="shared" si="16"/>
        <v>601</v>
      </c>
      <c r="L351" s="10">
        <f t="shared" si="17"/>
        <v>276</v>
      </c>
      <c r="M351" t="s">
        <v>64</v>
      </c>
      <c r="N351" t="s">
        <v>54</v>
      </c>
      <c r="O351" t="s">
        <v>71</v>
      </c>
      <c r="P351">
        <v>3</v>
      </c>
    </row>
    <row r="352" spans="1:16" x14ac:dyDescent="0.25">
      <c r="A352" t="str">
        <f t="shared" si="15"/>
        <v>ORD0351</v>
      </c>
      <c r="B352" s="3">
        <v>46379</v>
      </c>
      <c r="C352" t="s">
        <v>92</v>
      </c>
      <c r="D352" t="s">
        <v>70</v>
      </c>
      <c r="E352" t="s">
        <v>19</v>
      </c>
      <c r="F352" t="s">
        <v>17</v>
      </c>
      <c r="G352">
        <v>4</v>
      </c>
      <c r="H352" s="10">
        <f>_xlfn.XLOOKUP(E352,Table18[Product],Table18[Unit_Price])</f>
        <v>200</v>
      </c>
      <c r="I352" s="10">
        <f>_xlfn.XLOOKUP(E352,Table18[Product],Table18[Cost_Price])</f>
        <v>100</v>
      </c>
      <c r="J352" s="10">
        <v>3</v>
      </c>
      <c r="K352" s="10">
        <f t="shared" si="16"/>
        <v>797</v>
      </c>
      <c r="L352" s="10">
        <f t="shared" si="17"/>
        <v>397</v>
      </c>
      <c r="M352" t="s">
        <v>53</v>
      </c>
      <c r="N352" t="s">
        <v>54</v>
      </c>
      <c r="O352" t="s">
        <v>51</v>
      </c>
      <c r="P352">
        <v>3</v>
      </c>
    </row>
    <row r="353" spans="1:16" x14ac:dyDescent="0.25">
      <c r="A353" t="str">
        <f t="shared" si="15"/>
        <v>ORD0352</v>
      </c>
      <c r="B353" s="3">
        <v>46235</v>
      </c>
      <c r="C353" t="s">
        <v>92</v>
      </c>
      <c r="D353" t="s">
        <v>66</v>
      </c>
      <c r="E353" t="s">
        <v>22</v>
      </c>
      <c r="F353" t="s">
        <v>23</v>
      </c>
      <c r="G353">
        <v>5</v>
      </c>
      <c r="H353" s="10">
        <f>_xlfn.XLOOKUP(E353,Table18[Product],Table18[Unit_Price])</f>
        <v>190</v>
      </c>
      <c r="I353" s="10">
        <f>_xlfn.XLOOKUP(E353,Table18[Product],Table18[Cost_Price])</f>
        <v>95</v>
      </c>
      <c r="J353" s="10">
        <v>4</v>
      </c>
      <c r="K353" s="10">
        <f t="shared" si="16"/>
        <v>946</v>
      </c>
      <c r="L353" s="10">
        <f t="shared" si="17"/>
        <v>471</v>
      </c>
      <c r="M353" t="s">
        <v>53</v>
      </c>
      <c r="N353" t="s">
        <v>58</v>
      </c>
      <c r="O353" t="s">
        <v>62</v>
      </c>
      <c r="P353">
        <v>5</v>
      </c>
    </row>
    <row r="354" spans="1:16" x14ac:dyDescent="0.25">
      <c r="A354" t="str">
        <f t="shared" si="15"/>
        <v>ORD0353</v>
      </c>
      <c r="B354" s="3">
        <v>46124</v>
      </c>
      <c r="C354" t="s">
        <v>102</v>
      </c>
      <c r="D354" t="s">
        <v>74</v>
      </c>
      <c r="E354" t="s">
        <v>39</v>
      </c>
      <c r="F354" t="s">
        <v>40</v>
      </c>
      <c r="G354">
        <v>1</v>
      </c>
      <c r="H354" s="10">
        <f>_xlfn.XLOOKUP(E354,Table18[Product],Table18[Unit_Price])</f>
        <v>240</v>
      </c>
      <c r="I354" s="10">
        <f>_xlfn.XLOOKUP(E354,Table18[Product],Table18[Cost_Price])</f>
        <v>120</v>
      </c>
      <c r="J354" s="10">
        <v>4</v>
      </c>
      <c r="K354" s="10">
        <f t="shared" si="16"/>
        <v>236</v>
      </c>
      <c r="L354" s="10">
        <f t="shared" si="17"/>
        <v>116</v>
      </c>
      <c r="M354" t="s">
        <v>49</v>
      </c>
      <c r="N354" t="s">
        <v>54</v>
      </c>
      <c r="O354" t="s">
        <v>51</v>
      </c>
      <c r="P354">
        <v>5</v>
      </c>
    </row>
    <row r="355" spans="1:16" x14ac:dyDescent="0.25">
      <c r="A355" t="str">
        <f t="shared" si="15"/>
        <v>ORD0354</v>
      </c>
      <c r="B355" s="3">
        <v>46099</v>
      </c>
      <c r="C355" t="s">
        <v>104</v>
      </c>
      <c r="D355" t="s">
        <v>70</v>
      </c>
      <c r="E355" t="s">
        <v>22</v>
      </c>
      <c r="F355" t="s">
        <v>23</v>
      </c>
      <c r="G355">
        <v>3</v>
      </c>
      <c r="H355" s="10">
        <f>_xlfn.XLOOKUP(E355,Table18[Product],Table18[Unit_Price])</f>
        <v>190</v>
      </c>
      <c r="I355" s="10">
        <f>_xlfn.XLOOKUP(E355,Table18[Product],Table18[Cost_Price])</f>
        <v>95</v>
      </c>
      <c r="J355" s="10">
        <v>34</v>
      </c>
      <c r="K355" s="10">
        <f t="shared" si="16"/>
        <v>536</v>
      </c>
      <c r="L355" s="10">
        <f t="shared" si="17"/>
        <v>251</v>
      </c>
      <c r="M355" t="s">
        <v>64</v>
      </c>
      <c r="N355" t="s">
        <v>54</v>
      </c>
      <c r="O355" t="s">
        <v>65</v>
      </c>
      <c r="P355">
        <v>5</v>
      </c>
    </row>
    <row r="356" spans="1:16" x14ac:dyDescent="0.25">
      <c r="A356" t="str">
        <f t="shared" si="15"/>
        <v>ORD0355</v>
      </c>
      <c r="B356" s="3">
        <v>46216</v>
      </c>
      <c r="C356" t="s">
        <v>80</v>
      </c>
      <c r="D356" t="s">
        <v>74</v>
      </c>
      <c r="E356" t="s">
        <v>30</v>
      </c>
      <c r="F356" t="s">
        <v>31</v>
      </c>
      <c r="G356">
        <v>5</v>
      </c>
      <c r="H356" s="10">
        <f>_xlfn.XLOOKUP(E356,Table18[Product],Table18[Unit_Price])</f>
        <v>110</v>
      </c>
      <c r="I356" s="10">
        <f>_xlfn.XLOOKUP(E356,Table18[Product],Table18[Cost_Price])</f>
        <v>55</v>
      </c>
      <c r="J356" s="10">
        <v>16</v>
      </c>
      <c r="K356" s="10">
        <f t="shared" si="16"/>
        <v>534</v>
      </c>
      <c r="L356" s="10">
        <f t="shared" si="17"/>
        <v>259</v>
      </c>
      <c r="M356" t="s">
        <v>53</v>
      </c>
      <c r="N356" t="s">
        <v>54</v>
      </c>
      <c r="O356" t="s">
        <v>59</v>
      </c>
      <c r="P356">
        <v>3</v>
      </c>
    </row>
    <row r="357" spans="1:16" x14ac:dyDescent="0.25">
      <c r="A357" t="str">
        <f t="shared" si="15"/>
        <v>ORD0356</v>
      </c>
      <c r="B357" s="3">
        <v>46314</v>
      </c>
      <c r="C357" t="s">
        <v>76</v>
      </c>
      <c r="D357" t="s">
        <v>74</v>
      </c>
      <c r="E357" t="s">
        <v>37</v>
      </c>
      <c r="F357" t="s">
        <v>35</v>
      </c>
      <c r="G357">
        <v>1</v>
      </c>
      <c r="H357" s="10">
        <f>_xlfn.XLOOKUP(E357,Table18[Product],Table18[Unit_Price])</f>
        <v>160</v>
      </c>
      <c r="I357" s="10">
        <f>_xlfn.XLOOKUP(E357,Table18[Product],Table18[Cost_Price])</f>
        <v>80</v>
      </c>
      <c r="J357" s="10">
        <v>7</v>
      </c>
      <c r="K357" s="10">
        <f t="shared" si="16"/>
        <v>153</v>
      </c>
      <c r="L357" s="10">
        <f t="shared" si="17"/>
        <v>73</v>
      </c>
      <c r="M357" t="s">
        <v>57</v>
      </c>
      <c r="N357" t="s">
        <v>50</v>
      </c>
      <c r="O357" t="s">
        <v>55</v>
      </c>
      <c r="P357">
        <v>3</v>
      </c>
    </row>
    <row r="358" spans="1:16" x14ac:dyDescent="0.25">
      <c r="A358" t="str">
        <f t="shared" si="15"/>
        <v>ORD0357</v>
      </c>
      <c r="B358" s="3">
        <v>46253</v>
      </c>
      <c r="C358" t="s">
        <v>98</v>
      </c>
      <c r="D358" t="s">
        <v>52</v>
      </c>
      <c r="E358" t="s">
        <v>33</v>
      </c>
      <c r="F358" t="s">
        <v>31</v>
      </c>
      <c r="G358">
        <v>4</v>
      </c>
      <c r="H358" s="10">
        <f>_xlfn.XLOOKUP(E358,Table18[Product],Table18[Unit_Price])</f>
        <v>150</v>
      </c>
      <c r="I358" s="10">
        <f>_xlfn.XLOOKUP(E358,Table18[Product],Table18[Cost_Price])</f>
        <v>75</v>
      </c>
      <c r="J358" s="10">
        <v>37</v>
      </c>
      <c r="K358" s="10">
        <f t="shared" si="16"/>
        <v>563</v>
      </c>
      <c r="L358" s="10">
        <f t="shared" si="17"/>
        <v>263</v>
      </c>
      <c r="M358" t="s">
        <v>53</v>
      </c>
      <c r="N358" t="s">
        <v>54</v>
      </c>
      <c r="O358" t="s">
        <v>55</v>
      </c>
      <c r="P358">
        <v>3</v>
      </c>
    </row>
    <row r="359" spans="1:16" x14ac:dyDescent="0.25">
      <c r="A359" t="str">
        <f t="shared" si="15"/>
        <v>ORD0358</v>
      </c>
      <c r="B359" s="3">
        <v>46129</v>
      </c>
      <c r="C359" t="s">
        <v>99</v>
      </c>
      <c r="D359" t="s">
        <v>56</v>
      </c>
      <c r="E359" t="s">
        <v>37</v>
      </c>
      <c r="F359" t="s">
        <v>35</v>
      </c>
      <c r="G359">
        <v>3</v>
      </c>
      <c r="H359" s="10">
        <f>_xlfn.XLOOKUP(E359,Table18[Product],Table18[Unit_Price])</f>
        <v>160</v>
      </c>
      <c r="I359" s="10">
        <f>_xlfn.XLOOKUP(E359,Table18[Product],Table18[Cost_Price])</f>
        <v>80</v>
      </c>
      <c r="J359" s="10">
        <v>22</v>
      </c>
      <c r="K359" s="10">
        <f t="shared" si="16"/>
        <v>458</v>
      </c>
      <c r="L359" s="10">
        <f t="shared" si="17"/>
        <v>218</v>
      </c>
      <c r="M359" t="s">
        <v>61</v>
      </c>
      <c r="N359" t="s">
        <v>54</v>
      </c>
      <c r="O359" t="s">
        <v>55</v>
      </c>
      <c r="P359">
        <v>3</v>
      </c>
    </row>
    <row r="360" spans="1:16" x14ac:dyDescent="0.25">
      <c r="A360" t="str">
        <f t="shared" si="15"/>
        <v>ORD0359</v>
      </c>
      <c r="B360" s="3">
        <v>46231</v>
      </c>
      <c r="C360" t="s">
        <v>83</v>
      </c>
      <c r="D360" t="s">
        <v>52</v>
      </c>
      <c r="E360" t="s">
        <v>22</v>
      </c>
      <c r="F360" t="s">
        <v>23</v>
      </c>
      <c r="G360">
        <v>3</v>
      </c>
      <c r="H360" s="10">
        <f>_xlfn.XLOOKUP(E360,Table18[Product],Table18[Unit_Price])</f>
        <v>190</v>
      </c>
      <c r="I360" s="10">
        <f>_xlfn.XLOOKUP(E360,Table18[Product],Table18[Cost_Price])</f>
        <v>95</v>
      </c>
      <c r="J360" s="10">
        <v>13</v>
      </c>
      <c r="K360" s="10">
        <f t="shared" si="16"/>
        <v>557</v>
      </c>
      <c r="L360" s="10">
        <f t="shared" si="17"/>
        <v>272</v>
      </c>
      <c r="M360" t="s">
        <v>53</v>
      </c>
      <c r="N360" t="s">
        <v>54</v>
      </c>
      <c r="O360" t="s">
        <v>51</v>
      </c>
      <c r="P360">
        <v>3</v>
      </c>
    </row>
    <row r="361" spans="1:16" x14ac:dyDescent="0.25">
      <c r="A361" t="str">
        <f t="shared" si="15"/>
        <v>ORD0360</v>
      </c>
      <c r="B361" s="3">
        <v>46291</v>
      </c>
      <c r="C361" t="s">
        <v>84</v>
      </c>
      <c r="D361" t="s">
        <v>63</v>
      </c>
      <c r="E361" t="s">
        <v>34</v>
      </c>
      <c r="F361" t="s">
        <v>35</v>
      </c>
      <c r="G361">
        <v>2</v>
      </c>
      <c r="H361" s="10">
        <f>_xlfn.XLOOKUP(E361,Table18[Product],Table18[Unit_Price])</f>
        <v>180</v>
      </c>
      <c r="I361" s="10">
        <f>_xlfn.XLOOKUP(E361,Table18[Product],Table18[Cost_Price])</f>
        <v>90</v>
      </c>
      <c r="J361" s="10">
        <v>25</v>
      </c>
      <c r="K361" s="10">
        <f t="shared" si="16"/>
        <v>335</v>
      </c>
      <c r="L361" s="10">
        <f t="shared" si="17"/>
        <v>155</v>
      </c>
      <c r="M361" t="s">
        <v>61</v>
      </c>
      <c r="N361" t="s">
        <v>54</v>
      </c>
      <c r="O361" t="s">
        <v>73</v>
      </c>
      <c r="P361">
        <v>5</v>
      </c>
    </row>
    <row r="362" spans="1:16" x14ac:dyDescent="0.25">
      <c r="A362" t="str">
        <f t="shared" si="15"/>
        <v>ORD0361</v>
      </c>
      <c r="B362" s="3">
        <v>46274</v>
      </c>
      <c r="C362" t="s">
        <v>97</v>
      </c>
      <c r="D362" t="s">
        <v>70</v>
      </c>
      <c r="E362" t="s">
        <v>18</v>
      </c>
      <c r="F362" t="s">
        <v>17</v>
      </c>
      <c r="G362">
        <v>2</v>
      </c>
      <c r="H362" s="10">
        <f>_xlfn.XLOOKUP(E362,Table18[Product],Table18[Unit_Price])</f>
        <v>180</v>
      </c>
      <c r="I362" s="10">
        <f>_xlfn.XLOOKUP(E362,Table18[Product],Table18[Cost_Price])</f>
        <v>90</v>
      </c>
      <c r="J362" s="10">
        <v>42</v>
      </c>
      <c r="K362" s="10">
        <f t="shared" si="16"/>
        <v>318</v>
      </c>
      <c r="L362" s="10">
        <f t="shared" si="17"/>
        <v>138</v>
      </c>
      <c r="M362" t="s">
        <v>53</v>
      </c>
      <c r="N362" t="s">
        <v>58</v>
      </c>
      <c r="O362" t="s">
        <v>55</v>
      </c>
      <c r="P362">
        <v>4</v>
      </c>
    </row>
    <row r="363" spans="1:16" x14ac:dyDescent="0.25">
      <c r="A363" t="str">
        <f t="shared" si="15"/>
        <v>ORD0362</v>
      </c>
      <c r="B363" s="3">
        <v>46275</v>
      </c>
      <c r="C363" t="s">
        <v>101</v>
      </c>
      <c r="D363" t="s">
        <v>74</v>
      </c>
      <c r="E363" t="s">
        <v>19</v>
      </c>
      <c r="F363" t="s">
        <v>17</v>
      </c>
      <c r="G363">
        <v>3</v>
      </c>
      <c r="H363" s="10">
        <f>_xlfn.XLOOKUP(E363,Table18[Product],Table18[Unit_Price])</f>
        <v>200</v>
      </c>
      <c r="I363" s="10">
        <f>_xlfn.XLOOKUP(E363,Table18[Product],Table18[Cost_Price])</f>
        <v>100</v>
      </c>
      <c r="J363" s="10">
        <v>10</v>
      </c>
      <c r="K363" s="10">
        <f t="shared" si="16"/>
        <v>590</v>
      </c>
      <c r="L363" s="10">
        <f t="shared" si="17"/>
        <v>290</v>
      </c>
      <c r="M363" t="s">
        <v>61</v>
      </c>
      <c r="N363" t="s">
        <v>50</v>
      </c>
      <c r="O363" t="s">
        <v>75</v>
      </c>
      <c r="P363">
        <v>5</v>
      </c>
    </row>
    <row r="364" spans="1:16" x14ac:dyDescent="0.25">
      <c r="A364" t="str">
        <f t="shared" si="15"/>
        <v>ORD0363</v>
      </c>
      <c r="B364" s="3">
        <v>46030</v>
      </c>
      <c r="C364" t="s">
        <v>102</v>
      </c>
      <c r="D364" t="s">
        <v>60</v>
      </c>
      <c r="E364" t="s">
        <v>39</v>
      </c>
      <c r="F364" t="s">
        <v>40</v>
      </c>
      <c r="G364">
        <v>2</v>
      </c>
      <c r="H364" s="10">
        <f>_xlfn.XLOOKUP(E364,Table18[Product],Table18[Unit_Price])</f>
        <v>240</v>
      </c>
      <c r="I364" s="10">
        <f>_xlfn.XLOOKUP(E364,Table18[Product],Table18[Cost_Price])</f>
        <v>120</v>
      </c>
      <c r="J364" s="10">
        <v>8</v>
      </c>
      <c r="K364" s="10">
        <f t="shared" si="16"/>
        <v>472</v>
      </c>
      <c r="L364" s="10">
        <f t="shared" si="17"/>
        <v>232</v>
      </c>
      <c r="M364" t="s">
        <v>64</v>
      </c>
      <c r="N364" t="s">
        <v>54</v>
      </c>
      <c r="O364" t="s">
        <v>55</v>
      </c>
      <c r="P364">
        <v>4</v>
      </c>
    </row>
    <row r="365" spans="1:16" x14ac:dyDescent="0.25">
      <c r="A365" t="str">
        <f t="shared" si="15"/>
        <v>ORD0364</v>
      </c>
      <c r="B365" s="3">
        <v>46319</v>
      </c>
      <c r="C365" t="s">
        <v>79</v>
      </c>
      <c r="D365" t="s">
        <v>60</v>
      </c>
      <c r="E365" t="s">
        <v>32</v>
      </c>
      <c r="F365" t="s">
        <v>31</v>
      </c>
      <c r="G365">
        <v>1</v>
      </c>
      <c r="H365" s="10">
        <f>_xlfn.XLOOKUP(E365,Table18[Product],Table18[Unit_Price])</f>
        <v>130</v>
      </c>
      <c r="I365" s="10">
        <f>_xlfn.XLOOKUP(E365,Table18[Product],Table18[Cost_Price])</f>
        <v>65</v>
      </c>
      <c r="J365" s="10">
        <v>9</v>
      </c>
      <c r="K365" s="10">
        <f t="shared" si="16"/>
        <v>121</v>
      </c>
      <c r="L365" s="10">
        <f t="shared" si="17"/>
        <v>56</v>
      </c>
      <c r="M365" t="s">
        <v>57</v>
      </c>
      <c r="N365" t="s">
        <v>54</v>
      </c>
      <c r="O365" t="s">
        <v>59</v>
      </c>
      <c r="P365">
        <v>4</v>
      </c>
    </row>
    <row r="366" spans="1:16" x14ac:dyDescent="0.25">
      <c r="A366" t="str">
        <f t="shared" si="15"/>
        <v>ORD0365</v>
      </c>
      <c r="B366" s="3">
        <v>46262</v>
      </c>
      <c r="C366" t="s">
        <v>102</v>
      </c>
      <c r="D366" t="s">
        <v>48</v>
      </c>
      <c r="E366" t="s">
        <v>25</v>
      </c>
      <c r="F366" t="s">
        <v>26</v>
      </c>
      <c r="G366">
        <v>4</v>
      </c>
      <c r="H366" s="10">
        <f>_xlfn.XLOOKUP(E366,Table18[Product],Table18[Unit_Price])</f>
        <v>170</v>
      </c>
      <c r="I366" s="10">
        <f>_xlfn.XLOOKUP(E366,Table18[Product],Table18[Cost_Price])</f>
        <v>85</v>
      </c>
      <c r="J366" s="10">
        <v>25</v>
      </c>
      <c r="K366" s="10">
        <f t="shared" si="16"/>
        <v>655</v>
      </c>
      <c r="L366" s="10">
        <f t="shared" si="17"/>
        <v>315</v>
      </c>
      <c r="M366" t="s">
        <v>57</v>
      </c>
      <c r="N366" t="s">
        <v>58</v>
      </c>
      <c r="O366" t="s">
        <v>59</v>
      </c>
      <c r="P366">
        <v>5</v>
      </c>
    </row>
    <row r="367" spans="1:16" x14ac:dyDescent="0.25">
      <c r="A367" t="str">
        <f t="shared" si="15"/>
        <v>ORD0366</v>
      </c>
      <c r="B367" s="3">
        <v>46069</v>
      </c>
      <c r="C367" t="s">
        <v>96</v>
      </c>
      <c r="D367" t="s">
        <v>52</v>
      </c>
      <c r="E367" t="s">
        <v>24</v>
      </c>
      <c r="F367" t="s">
        <v>23</v>
      </c>
      <c r="G367">
        <v>4</v>
      </c>
      <c r="H367" s="10">
        <f>_xlfn.XLOOKUP(E367,Table18[Product],Table18[Unit_Price])</f>
        <v>210</v>
      </c>
      <c r="I367" s="10">
        <f>_xlfn.XLOOKUP(E367,Table18[Product],Table18[Cost_Price])</f>
        <v>105</v>
      </c>
      <c r="J367" s="10">
        <v>14</v>
      </c>
      <c r="K367" s="10">
        <f t="shared" si="16"/>
        <v>826</v>
      </c>
      <c r="L367" s="10">
        <f t="shared" si="17"/>
        <v>406</v>
      </c>
      <c r="M367" t="s">
        <v>61</v>
      </c>
      <c r="N367" t="s">
        <v>58</v>
      </c>
      <c r="O367" t="s">
        <v>55</v>
      </c>
      <c r="P367">
        <v>5</v>
      </c>
    </row>
    <row r="368" spans="1:16" x14ac:dyDescent="0.25">
      <c r="A368" t="str">
        <f t="shared" si="15"/>
        <v>ORD0367</v>
      </c>
      <c r="B368" s="3">
        <v>46208</v>
      </c>
      <c r="C368" t="s">
        <v>86</v>
      </c>
      <c r="D368" t="s">
        <v>70</v>
      </c>
      <c r="E368" t="s">
        <v>27</v>
      </c>
      <c r="F368" t="s">
        <v>28</v>
      </c>
      <c r="G368">
        <v>3</v>
      </c>
      <c r="H368" s="10">
        <f>_xlfn.XLOOKUP(E368,Table18[Product],Table18[Unit_Price])</f>
        <v>140</v>
      </c>
      <c r="I368" s="10">
        <f>_xlfn.XLOOKUP(E368,Table18[Product],Table18[Cost_Price])</f>
        <v>70</v>
      </c>
      <c r="J368" s="10">
        <v>36</v>
      </c>
      <c r="K368" s="10">
        <f t="shared" si="16"/>
        <v>384</v>
      </c>
      <c r="L368" s="10">
        <f t="shared" si="17"/>
        <v>174</v>
      </c>
      <c r="M368" t="s">
        <v>53</v>
      </c>
      <c r="N368" t="s">
        <v>50</v>
      </c>
      <c r="O368" t="s">
        <v>62</v>
      </c>
      <c r="P368">
        <v>4</v>
      </c>
    </row>
    <row r="369" spans="1:16" x14ac:dyDescent="0.25">
      <c r="A369" t="str">
        <f t="shared" si="15"/>
        <v>ORD0368</v>
      </c>
      <c r="B369" s="3">
        <v>46186</v>
      </c>
      <c r="C369" t="s">
        <v>98</v>
      </c>
      <c r="D369" t="s">
        <v>68</v>
      </c>
      <c r="E369" t="s">
        <v>24</v>
      </c>
      <c r="F369" t="s">
        <v>23</v>
      </c>
      <c r="G369">
        <v>3</v>
      </c>
      <c r="H369" s="10">
        <f>_xlfn.XLOOKUP(E369,Table18[Product],Table18[Unit_Price])</f>
        <v>210</v>
      </c>
      <c r="I369" s="10">
        <f>_xlfn.XLOOKUP(E369,Table18[Product],Table18[Cost_Price])</f>
        <v>105</v>
      </c>
      <c r="J369" s="10">
        <v>27</v>
      </c>
      <c r="K369" s="10">
        <f t="shared" si="16"/>
        <v>603</v>
      </c>
      <c r="L369" s="10">
        <f t="shared" si="17"/>
        <v>288</v>
      </c>
      <c r="M369" t="s">
        <v>57</v>
      </c>
      <c r="N369" t="s">
        <v>58</v>
      </c>
      <c r="O369" t="s">
        <v>55</v>
      </c>
      <c r="P369">
        <v>3</v>
      </c>
    </row>
    <row r="370" spans="1:16" x14ac:dyDescent="0.25">
      <c r="A370" t="str">
        <f t="shared" si="15"/>
        <v>ORD0369</v>
      </c>
      <c r="B370" s="3">
        <v>46056</v>
      </c>
      <c r="C370" t="s">
        <v>86</v>
      </c>
      <c r="D370" t="s">
        <v>48</v>
      </c>
      <c r="E370" t="s">
        <v>19</v>
      </c>
      <c r="F370" t="s">
        <v>17</v>
      </c>
      <c r="G370">
        <v>4</v>
      </c>
      <c r="H370" s="10">
        <f>_xlfn.XLOOKUP(E370,Table18[Product],Table18[Unit_Price])</f>
        <v>200</v>
      </c>
      <c r="I370" s="10">
        <f>_xlfn.XLOOKUP(E370,Table18[Product],Table18[Cost_Price])</f>
        <v>100</v>
      </c>
      <c r="J370" s="10">
        <v>7</v>
      </c>
      <c r="K370" s="10">
        <f t="shared" si="16"/>
        <v>793</v>
      </c>
      <c r="L370" s="10">
        <f t="shared" si="17"/>
        <v>393</v>
      </c>
      <c r="M370" t="s">
        <v>64</v>
      </c>
      <c r="N370" t="s">
        <v>58</v>
      </c>
      <c r="O370" t="s">
        <v>67</v>
      </c>
      <c r="P370">
        <v>5</v>
      </c>
    </row>
    <row r="371" spans="1:16" x14ac:dyDescent="0.25">
      <c r="A371" t="str">
        <f t="shared" si="15"/>
        <v>ORD0370</v>
      </c>
      <c r="B371" s="3">
        <v>46384</v>
      </c>
      <c r="C371" t="s">
        <v>93</v>
      </c>
      <c r="D371" t="s">
        <v>63</v>
      </c>
      <c r="E371" t="s">
        <v>38</v>
      </c>
      <c r="F371" t="s">
        <v>35</v>
      </c>
      <c r="G371">
        <v>1</v>
      </c>
      <c r="H371" s="10">
        <f>_xlfn.XLOOKUP(E371,Table18[Product],Table18[Unit_Price])</f>
        <v>170</v>
      </c>
      <c r="I371" s="10">
        <f>_xlfn.XLOOKUP(E371,Table18[Product],Table18[Cost_Price])</f>
        <v>85</v>
      </c>
      <c r="J371" s="10">
        <v>1</v>
      </c>
      <c r="K371" s="10">
        <f t="shared" si="16"/>
        <v>169</v>
      </c>
      <c r="L371" s="10">
        <f t="shared" si="17"/>
        <v>84</v>
      </c>
      <c r="M371" t="s">
        <v>49</v>
      </c>
      <c r="N371" t="s">
        <v>54</v>
      </c>
      <c r="O371" t="s">
        <v>62</v>
      </c>
      <c r="P371">
        <v>5</v>
      </c>
    </row>
    <row r="372" spans="1:16" x14ac:dyDescent="0.25">
      <c r="A372" t="str">
        <f t="shared" si="15"/>
        <v>ORD0371</v>
      </c>
      <c r="B372" s="3">
        <v>46345</v>
      </c>
      <c r="C372" t="s">
        <v>102</v>
      </c>
      <c r="D372" t="s">
        <v>70</v>
      </c>
      <c r="E372" t="s">
        <v>21</v>
      </c>
      <c r="F372" t="s">
        <v>17</v>
      </c>
      <c r="G372">
        <v>2</v>
      </c>
      <c r="H372" s="10">
        <f>_xlfn.XLOOKUP(E372,Table18[Product],Table18[Unit_Price])</f>
        <v>220</v>
      </c>
      <c r="I372" s="10">
        <f>_xlfn.XLOOKUP(E372,Table18[Product],Table18[Cost_Price])</f>
        <v>110</v>
      </c>
      <c r="J372" s="10">
        <v>28</v>
      </c>
      <c r="K372" s="10">
        <f t="shared" si="16"/>
        <v>412</v>
      </c>
      <c r="L372" s="10">
        <f t="shared" si="17"/>
        <v>192</v>
      </c>
      <c r="M372" t="s">
        <v>64</v>
      </c>
      <c r="N372" t="s">
        <v>58</v>
      </c>
      <c r="O372" t="s">
        <v>51</v>
      </c>
      <c r="P372">
        <v>4</v>
      </c>
    </row>
    <row r="373" spans="1:16" x14ac:dyDescent="0.25">
      <c r="A373" t="str">
        <f t="shared" si="15"/>
        <v>ORD0372</v>
      </c>
      <c r="B373" s="3">
        <v>46196</v>
      </c>
      <c r="C373" t="s">
        <v>81</v>
      </c>
      <c r="D373" t="s">
        <v>56</v>
      </c>
      <c r="E373" t="s">
        <v>16</v>
      </c>
      <c r="F373" t="s">
        <v>17</v>
      </c>
      <c r="G373">
        <v>5</v>
      </c>
      <c r="H373" s="10">
        <f>_xlfn.XLOOKUP(E373,Table18[Product],Table18[Unit_Price])</f>
        <v>120</v>
      </c>
      <c r="I373" s="10">
        <f>_xlfn.XLOOKUP(E373,Table18[Product],Table18[Cost_Price])</f>
        <v>60</v>
      </c>
      <c r="J373" s="10">
        <v>11</v>
      </c>
      <c r="K373" s="10">
        <f t="shared" si="16"/>
        <v>589</v>
      </c>
      <c r="L373" s="10">
        <f t="shared" si="17"/>
        <v>289</v>
      </c>
      <c r="M373" t="s">
        <v>64</v>
      </c>
      <c r="N373" t="s">
        <v>50</v>
      </c>
      <c r="O373" t="s">
        <v>55</v>
      </c>
      <c r="P373">
        <v>5</v>
      </c>
    </row>
    <row r="374" spans="1:16" x14ac:dyDescent="0.25">
      <c r="A374" t="str">
        <f t="shared" si="15"/>
        <v>ORD0373</v>
      </c>
      <c r="B374" s="3">
        <v>46368</v>
      </c>
      <c r="C374" t="s">
        <v>95</v>
      </c>
      <c r="D374" t="s">
        <v>66</v>
      </c>
      <c r="E374" t="s">
        <v>19</v>
      </c>
      <c r="F374" t="s">
        <v>17</v>
      </c>
      <c r="G374">
        <v>2</v>
      </c>
      <c r="H374" s="10">
        <f>_xlfn.XLOOKUP(E374,Table18[Product],Table18[Unit_Price])</f>
        <v>200</v>
      </c>
      <c r="I374" s="10">
        <f>_xlfn.XLOOKUP(E374,Table18[Product],Table18[Cost_Price])</f>
        <v>100</v>
      </c>
      <c r="J374" s="10">
        <v>23</v>
      </c>
      <c r="K374" s="10">
        <f t="shared" si="16"/>
        <v>377</v>
      </c>
      <c r="L374" s="10">
        <f t="shared" si="17"/>
        <v>177</v>
      </c>
      <c r="M374" t="s">
        <v>57</v>
      </c>
      <c r="N374" t="s">
        <v>58</v>
      </c>
      <c r="O374" t="s">
        <v>67</v>
      </c>
      <c r="P374">
        <v>5</v>
      </c>
    </row>
    <row r="375" spans="1:16" x14ac:dyDescent="0.25">
      <c r="A375" t="str">
        <f t="shared" si="15"/>
        <v>ORD0374</v>
      </c>
      <c r="B375" s="3">
        <v>46380</v>
      </c>
      <c r="C375" t="s">
        <v>87</v>
      </c>
      <c r="D375" t="s">
        <v>74</v>
      </c>
      <c r="E375" t="s">
        <v>30</v>
      </c>
      <c r="F375" t="s">
        <v>31</v>
      </c>
      <c r="G375">
        <v>1</v>
      </c>
      <c r="H375" s="10">
        <f>_xlfn.XLOOKUP(E375,Table18[Product],Table18[Unit_Price])</f>
        <v>110</v>
      </c>
      <c r="I375" s="10">
        <f>_xlfn.XLOOKUP(E375,Table18[Product],Table18[Cost_Price])</f>
        <v>55</v>
      </c>
      <c r="J375" s="10">
        <v>34</v>
      </c>
      <c r="K375" s="10">
        <f t="shared" si="16"/>
        <v>76</v>
      </c>
      <c r="L375" s="10">
        <f t="shared" si="17"/>
        <v>21</v>
      </c>
      <c r="M375" t="s">
        <v>64</v>
      </c>
      <c r="N375" t="s">
        <v>54</v>
      </c>
      <c r="O375" t="s">
        <v>67</v>
      </c>
      <c r="P375">
        <v>5</v>
      </c>
    </row>
    <row r="376" spans="1:16" x14ac:dyDescent="0.25">
      <c r="A376" t="str">
        <f t="shared" si="15"/>
        <v>ORD0375</v>
      </c>
      <c r="B376" s="3">
        <v>46174</v>
      </c>
      <c r="C376" t="s">
        <v>90</v>
      </c>
      <c r="D376" t="s">
        <v>56</v>
      </c>
      <c r="E376" t="s">
        <v>16</v>
      </c>
      <c r="F376" t="s">
        <v>17</v>
      </c>
      <c r="G376">
        <v>2</v>
      </c>
      <c r="H376" s="10">
        <f>_xlfn.XLOOKUP(E376,Table18[Product],Table18[Unit_Price])</f>
        <v>120</v>
      </c>
      <c r="I376" s="10">
        <f>_xlfn.XLOOKUP(E376,Table18[Product],Table18[Cost_Price])</f>
        <v>60</v>
      </c>
      <c r="J376" s="10">
        <v>31</v>
      </c>
      <c r="K376" s="10">
        <f t="shared" si="16"/>
        <v>209</v>
      </c>
      <c r="L376" s="10">
        <f t="shared" si="17"/>
        <v>89</v>
      </c>
      <c r="M376" t="s">
        <v>49</v>
      </c>
      <c r="N376" t="s">
        <v>50</v>
      </c>
      <c r="O376" t="s">
        <v>62</v>
      </c>
      <c r="P376">
        <v>3</v>
      </c>
    </row>
    <row r="377" spans="1:16" x14ac:dyDescent="0.25">
      <c r="A377" t="str">
        <f t="shared" si="15"/>
        <v>ORD0376</v>
      </c>
      <c r="B377" s="3">
        <v>46194</v>
      </c>
      <c r="C377" t="s">
        <v>85</v>
      </c>
      <c r="D377" t="s">
        <v>48</v>
      </c>
      <c r="E377" t="s">
        <v>37</v>
      </c>
      <c r="F377" t="s">
        <v>35</v>
      </c>
      <c r="G377">
        <v>2</v>
      </c>
      <c r="H377" s="10">
        <f>_xlfn.XLOOKUP(E377,Table18[Product],Table18[Unit_Price])</f>
        <v>160</v>
      </c>
      <c r="I377" s="10">
        <f>_xlfn.XLOOKUP(E377,Table18[Product],Table18[Cost_Price])</f>
        <v>80</v>
      </c>
      <c r="J377" s="10">
        <v>5</v>
      </c>
      <c r="K377" s="10">
        <f t="shared" si="16"/>
        <v>315</v>
      </c>
      <c r="L377" s="10">
        <f t="shared" si="17"/>
        <v>155</v>
      </c>
      <c r="M377" t="s">
        <v>57</v>
      </c>
      <c r="N377" t="s">
        <v>50</v>
      </c>
      <c r="O377" t="s">
        <v>59</v>
      </c>
      <c r="P377">
        <v>4</v>
      </c>
    </row>
    <row r="378" spans="1:16" x14ac:dyDescent="0.25">
      <c r="A378" t="str">
        <f t="shared" si="15"/>
        <v>ORD0377</v>
      </c>
      <c r="B378" s="3">
        <v>46058</v>
      </c>
      <c r="C378" t="s">
        <v>94</v>
      </c>
      <c r="D378" t="s">
        <v>72</v>
      </c>
      <c r="E378" t="s">
        <v>38</v>
      </c>
      <c r="F378" t="s">
        <v>35</v>
      </c>
      <c r="G378">
        <v>3</v>
      </c>
      <c r="H378" s="10">
        <f>_xlfn.XLOOKUP(E378,Table18[Product],Table18[Unit_Price])</f>
        <v>170</v>
      </c>
      <c r="I378" s="10">
        <f>_xlfn.XLOOKUP(E378,Table18[Product],Table18[Cost_Price])</f>
        <v>85</v>
      </c>
      <c r="J378" s="10">
        <v>39</v>
      </c>
      <c r="K378" s="10">
        <f t="shared" si="16"/>
        <v>471</v>
      </c>
      <c r="L378" s="10">
        <f t="shared" si="17"/>
        <v>216</v>
      </c>
      <c r="M378" t="s">
        <v>57</v>
      </c>
      <c r="N378" t="s">
        <v>50</v>
      </c>
      <c r="O378" t="s">
        <v>67</v>
      </c>
      <c r="P378">
        <v>3</v>
      </c>
    </row>
    <row r="379" spans="1:16" x14ac:dyDescent="0.25">
      <c r="A379" t="str">
        <f t="shared" si="15"/>
        <v>ORD0378</v>
      </c>
      <c r="B379" s="3">
        <v>46087</v>
      </c>
      <c r="C379" t="s">
        <v>80</v>
      </c>
      <c r="D379" t="s">
        <v>70</v>
      </c>
      <c r="E379" t="s">
        <v>27</v>
      </c>
      <c r="F379" t="s">
        <v>28</v>
      </c>
      <c r="G379">
        <v>2</v>
      </c>
      <c r="H379" s="10">
        <f>_xlfn.XLOOKUP(E379,Table18[Product],Table18[Unit_Price])</f>
        <v>140</v>
      </c>
      <c r="I379" s="10">
        <f>_xlfn.XLOOKUP(E379,Table18[Product],Table18[Cost_Price])</f>
        <v>70</v>
      </c>
      <c r="J379" s="10">
        <v>14</v>
      </c>
      <c r="K379" s="10">
        <f t="shared" si="16"/>
        <v>266</v>
      </c>
      <c r="L379" s="10">
        <f t="shared" si="17"/>
        <v>126</v>
      </c>
      <c r="M379" t="s">
        <v>61</v>
      </c>
      <c r="N379" t="s">
        <v>58</v>
      </c>
      <c r="O379" t="s">
        <v>62</v>
      </c>
      <c r="P379">
        <v>3</v>
      </c>
    </row>
    <row r="380" spans="1:16" x14ac:dyDescent="0.25">
      <c r="A380" t="str">
        <f t="shared" si="15"/>
        <v>ORD0379</v>
      </c>
      <c r="B380" s="3">
        <v>46245</v>
      </c>
      <c r="C380" t="s">
        <v>87</v>
      </c>
      <c r="D380" t="s">
        <v>60</v>
      </c>
      <c r="E380" t="s">
        <v>38</v>
      </c>
      <c r="F380" t="s">
        <v>35</v>
      </c>
      <c r="G380">
        <v>3</v>
      </c>
      <c r="H380" s="10">
        <f>_xlfn.XLOOKUP(E380,Table18[Product],Table18[Unit_Price])</f>
        <v>170</v>
      </c>
      <c r="I380" s="10">
        <f>_xlfn.XLOOKUP(E380,Table18[Product],Table18[Cost_Price])</f>
        <v>85</v>
      </c>
      <c r="J380" s="10">
        <v>10</v>
      </c>
      <c r="K380" s="10">
        <f t="shared" si="16"/>
        <v>500</v>
      </c>
      <c r="L380" s="10">
        <f t="shared" si="17"/>
        <v>245</v>
      </c>
      <c r="M380" t="s">
        <v>61</v>
      </c>
      <c r="N380" t="s">
        <v>50</v>
      </c>
      <c r="O380" t="s">
        <v>65</v>
      </c>
      <c r="P380">
        <v>5</v>
      </c>
    </row>
    <row r="381" spans="1:16" x14ac:dyDescent="0.25">
      <c r="A381" t="str">
        <f t="shared" si="15"/>
        <v>ORD0380</v>
      </c>
      <c r="B381" s="3">
        <v>46133</v>
      </c>
      <c r="C381" t="s">
        <v>89</v>
      </c>
      <c r="D381" t="s">
        <v>66</v>
      </c>
      <c r="E381" t="s">
        <v>24</v>
      </c>
      <c r="F381" t="s">
        <v>23</v>
      </c>
      <c r="G381">
        <v>4</v>
      </c>
      <c r="H381" s="10">
        <f>_xlfn.XLOOKUP(E381,Table18[Product],Table18[Unit_Price])</f>
        <v>210</v>
      </c>
      <c r="I381" s="10">
        <f>_xlfn.XLOOKUP(E381,Table18[Product],Table18[Cost_Price])</f>
        <v>105</v>
      </c>
      <c r="J381" s="10">
        <v>43</v>
      </c>
      <c r="K381" s="10">
        <f t="shared" si="16"/>
        <v>797</v>
      </c>
      <c r="L381" s="10">
        <f t="shared" si="17"/>
        <v>377</v>
      </c>
      <c r="M381" t="s">
        <v>49</v>
      </c>
      <c r="N381" t="s">
        <v>54</v>
      </c>
      <c r="O381" t="s">
        <v>59</v>
      </c>
      <c r="P381">
        <v>4</v>
      </c>
    </row>
    <row r="382" spans="1:16" x14ac:dyDescent="0.25">
      <c r="A382" t="str">
        <f t="shared" si="15"/>
        <v>ORD0381</v>
      </c>
      <c r="B382" s="3">
        <v>46179</v>
      </c>
      <c r="C382" t="s">
        <v>83</v>
      </c>
      <c r="D382" t="s">
        <v>66</v>
      </c>
      <c r="E382" t="s">
        <v>16</v>
      </c>
      <c r="F382" t="s">
        <v>17</v>
      </c>
      <c r="G382">
        <v>5</v>
      </c>
      <c r="H382" s="10">
        <f>_xlfn.XLOOKUP(E382,Table18[Product],Table18[Unit_Price])</f>
        <v>120</v>
      </c>
      <c r="I382" s="10">
        <f>_xlfn.XLOOKUP(E382,Table18[Product],Table18[Cost_Price])</f>
        <v>60</v>
      </c>
      <c r="J382" s="10">
        <v>49</v>
      </c>
      <c r="K382" s="10">
        <f t="shared" si="16"/>
        <v>551</v>
      </c>
      <c r="L382" s="10">
        <f t="shared" si="17"/>
        <v>251</v>
      </c>
      <c r="M382" t="s">
        <v>57</v>
      </c>
      <c r="N382" t="s">
        <v>58</v>
      </c>
      <c r="O382" t="s">
        <v>62</v>
      </c>
      <c r="P382">
        <v>5</v>
      </c>
    </row>
    <row r="383" spans="1:16" x14ac:dyDescent="0.25">
      <c r="A383" t="str">
        <f t="shared" si="15"/>
        <v>ORD0382</v>
      </c>
      <c r="B383" s="3">
        <v>46186</v>
      </c>
      <c r="C383" t="s">
        <v>85</v>
      </c>
      <c r="D383" t="s">
        <v>48</v>
      </c>
      <c r="E383" t="s">
        <v>36</v>
      </c>
      <c r="F383" t="s">
        <v>35</v>
      </c>
      <c r="G383">
        <v>5</v>
      </c>
      <c r="H383" s="10">
        <f>_xlfn.XLOOKUP(E383,Table18[Product],Table18[Unit_Price])</f>
        <v>220</v>
      </c>
      <c r="I383" s="10">
        <f>_xlfn.XLOOKUP(E383,Table18[Product],Table18[Cost_Price])</f>
        <v>110</v>
      </c>
      <c r="J383" s="10">
        <v>25</v>
      </c>
      <c r="K383" s="10">
        <f t="shared" si="16"/>
        <v>1075</v>
      </c>
      <c r="L383" s="10">
        <f t="shared" si="17"/>
        <v>525</v>
      </c>
      <c r="M383" t="s">
        <v>57</v>
      </c>
      <c r="N383" t="s">
        <v>58</v>
      </c>
      <c r="O383" t="s">
        <v>69</v>
      </c>
      <c r="P383">
        <v>3</v>
      </c>
    </row>
    <row r="384" spans="1:16" x14ac:dyDescent="0.25">
      <c r="A384" t="str">
        <f t="shared" si="15"/>
        <v>ORD0383</v>
      </c>
      <c r="B384" s="3">
        <v>46179</v>
      </c>
      <c r="C384" t="s">
        <v>78</v>
      </c>
      <c r="D384" t="s">
        <v>52</v>
      </c>
      <c r="E384" t="s">
        <v>30</v>
      </c>
      <c r="F384" t="s">
        <v>31</v>
      </c>
      <c r="G384">
        <v>3</v>
      </c>
      <c r="H384" s="10">
        <f>_xlfn.XLOOKUP(E384,Table18[Product],Table18[Unit_Price])</f>
        <v>110</v>
      </c>
      <c r="I384" s="10">
        <f>_xlfn.XLOOKUP(E384,Table18[Product],Table18[Cost_Price])</f>
        <v>55</v>
      </c>
      <c r="J384" s="10">
        <v>17</v>
      </c>
      <c r="K384" s="10">
        <f t="shared" si="16"/>
        <v>313</v>
      </c>
      <c r="L384" s="10">
        <f t="shared" si="17"/>
        <v>148</v>
      </c>
      <c r="M384" t="s">
        <v>49</v>
      </c>
      <c r="N384" t="s">
        <v>50</v>
      </c>
      <c r="O384" t="s">
        <v>51</v>
      </c>
      <c r="P384">
        <v>4</v>
      </c>
    </row>
    <row r="385" spans="1:16" x14ac:dyDescent="0.25">
      <c r="A385" t="str">
        <f t="shared" si="15"/>
        <v>ORD0384</v>
      </c>
      <c r="B385" s="3">
        <v>46303</v>
      </c>
      <c r="C385" t="s">
        <v>96</v>
      </c>
      <c r="D385" t="s">
        <v>60</v>
      </c>
      <c r="E385" t="s">
        <v>24</v>
      </c>
      <c r="F385" t="s">
        <v>23</v>
      </c>
      <c r="G385">
        <v>1</v>
      </c>
      <c r="H385" s="10">
        <f>_xlfn.XLOOKUP(E385,Table18[Product],Table18[Unit_Price])</f>
        <v>210</v>
      </c>
      <c r="I385" s="10">
        <f>_xlfn.XLOOKUP(E385,Table18[Product],Table18[Cost_Price])</f>
        <v>105</v>
      </c>
      <c r="J385" s="10">
        <v>50</v>
      </c>
      <c r="K385" s="10">
        <f t="shared" si="16"/>
        <v>160</v>
      </c>
      <c r="L385" s="10">
        <f t="shared" si="17"/>
        <v>55</v>
      </c>
      <c r="M385" t="s">
        <v>49</v>
      </c>
      <c r="N385" t="s">
        <v>50</v>
      </c>
      <c r="O385" t="s">
        <v>59</v>
      </c>
      <c r="P385">
        <v>3</v>
      </c>
    </row>
    <row r="386" spans="1:16" x14ac:dyDescent="0.25">
      <c r="A386" t="str">
        <f t="shared" si="15"/>
        <v>ORD0385</v>
      </c>
      <c r="B386" s="3">
        <v>46381</v>
      </c>
      <c r="C386" t="s">
        <v>100</v>
      </c>
      <c r="D386" t="s">
        <v>63</v>
      </c>
      <c r="E386" t="s">
        <v>34</v>
      </c>
      <c r="F386" t="s">
        <v>35</v>
      </c>
      <c r="G386">
        <v>2</v>
      </c>
      <c r="H386" s="10">
        <f>_xlfn.XLOOKUP(E386,Table18[Product],Table18[Unit_Price])</f>
        <v>180</v>
      </c>
      <c r="I386" s="10">
        <f>_xlfn.XLOOKUP(E386,Table18[Product],Table18[Cost_Price])</f>
        <v>90</v>
      </c>
      <c r="J386" s="10">
        <v>48</v>
      </c>
      <c r="K386" s="10">
        <f t="shared" si="16"/>
        <v>312</v>
      </c>
      <c r="L386" s="10">
        <f t="shared" si="17"/>
        <v>132</v>
      </c>
      <c r="M386" t="s">
        <v>64</v>
      </c>
      <c r="N386" t="s">
        <v>50</v>
      </c>
      <c r="O386" t="s">
        <v>67</v>
      </c>
      <c r="P386">
        <v>4</v>
      </c>
    </row>
    <row r="387" spans="1:16" x14ac:dyDescent="0.25">
      <c r="A387" t="str">
        <f t="shared" ref="A387:A450" si="18">"ORD"&amp;TEXT(ROW()-1,"0000")</f>
        <v>ORD0386</v>
      </c>
      <c r="B387" s="3">
        <v>46380</v>
      </c>
      <c r="C387" t="s">
        <v>77</v>
      </c>
      <c r="D387" t="s">
        <v>52</v>
      </c>
      <c r="E387" t="s">
        <v>42</v>
      </c>
      <c r="F387" t="s">
        <v>40</v>
      </c>
      <c r="G387">
        <v>2</v>
      </c>
      <c r="H387" s="10">
        <f>_xlfn.XLOOKUP(E387,Table18[Product],Table18[Unit_Price])</f>
        <v>80</v>
      </c>
      <c r="I387" s="10">
        <f>_xlfn.XLOOKUP(E387,Table18[Product],Table18[Cost_Price])</f>
        <v>40</v>
      </c>
      <c r="J387" s="10">
        <v>47</v>
      </c>
      <c r="K387" s="10">
        <f t="shared" ref="K387:K450" si="19">(G387*H387)-J387</f>
        <v>113</v>
      </c>
      <c r="L387" s="10">
        <f t="shared" ref="L387:L450" si="20">K387-(G387*I387)</f>
        <v>33</v>
      </c>
      <c r="M387" t="s">
        <v>64</v>
      </c>
      <c r="N387" t="s">
        <v>58</v>
      </c>
      <c r="O387" t="s">
        <v>62</v>
      </c>
      <c r="P387">
        <v>4</v>
      </c>
    </row>
    <row r="388" spans="1:16" x14ac:dyDescent="0.25">
      <c r="A388" t="str">
        <f t="shared" si="18"/>
        <v>ORD0387</v>
      </c>
      <c r="B388" s="3">
        <v>46029</v>
      </c>
      <c r="C388" t="s">
        <v>87</v>
      </c>
      <c r="D388" t="s">
        <v>68</v>
      </c>
      <c r="E388" t="s">
        <v>33</v>
      </c>
      <c r="F388" t="s">
        <v>31</v>
      </c>
      <c r="G388">
        <v>2</v>
      </c>
      <c r="H388" s="10">
        <f>_xlfn.XLOOKUP(E388,Table18[Product],Table18[Unit_Price])</f>
        <v>150</v>
      </c>
      <c r="I388" s="10">
        <f>_xlfn.XLOOKUP(E388,Table18[Product],Table18[Cost_Price])</f>
        <v>75</v>
      </c>
      <c r="J388" s="10">
        <v>32</v>
      </c>
      <c r="K388" s="10">
        <f t="shared" si="19"/>
        <v>268</v>
      </c>
      <c r="L388" s="10">
        <f t="shared" si="20"/>
        <v>118</v>
      </c>
      <c r="M388" t="s">
        <v>53</v>
      </c>
      <c r="N388" t="s">
        <v>54</v>
      </c>
      <c r="O388" t="s">
        <v>59</v>
      </c>
      <c r="P388">
        <v>5</v>
      </c>
    </row>
    <row r="389" spans="1:16" x14ac:dyDescent="0.25">
      <c r="A389" t="str">
        <f t="shared" si="18"/>
        <v>ORD0388</v>
      </c>
      <c r="B389" s="3">
        <v>46167</v>
      </c>
      <c r="C389" t="s">
        <v>84</v>
      </c>
      <c r="D389" t="s">
        <v>48</v>
      </c>
      <c r="E389" t="s">
        <v>36</v>
      </c>
      <c r="F389" t="s">
        <v>35</v>
      </c>
      <c r="G389">
        <v>1</v>
      </c>
      <c r="H389" s="10">
        <f>_xlfn.XLOOKUP(E389,Table18[Product],Table18[Unit_Price])</f>
        <v>220</v>
      </c>
      <c r="I389" s="10">
        <f>_xlfn.XLOOKUP(E389,Table18[Product],Table18[Cost_Price])</f>
        <v>110</v>
      </c>
      <c r="J389" s="10">
        <v>47</v>
      </c>
      <c r="K389" s="10">
        <f t="shared" si="19"/>
        <v>173</v>
      </c>
      <c r="L389" s="10">
        <f t="shared" si="20"/>
        <v>63</v>
      </c>
      <c r="M389" t="s">
        <v>61</v>
      </c>
      <c r="N389" t="s">
        <v>54</v>
      </c>
      <c r="O389" t="s">
        <v>73</v>
      </c>
      <c r="P389">
        <v>5</v>
      </c>
    </row>
    <row r="390" spans="1:16" x14ac:dyDescent="0.25">
      <c r="A390" t="str">
        <f t="shared" si="18"/>
        <v>ORD0389</v>
      </c>
      <c r="B390" s="3">
        <v>46372</v>
      </c>
      <c r="C390" t="s">
        <v>89</v>
      </c>
      <c r="D390" t="s">
        <v>66</v>
      </c>
      <c r="E390" t="s">
        <v>38</v>
      </c>
      <c r="F390" t="s">
        <v>35</v>
      </c>
      <c r="G390">
        <v>1</v>
      </c>
      <c r="H390" s="10">
        <f>_xlfn.XLOOKUP(E390,Table18[Product],Table18[Unit_Price])</f>
        <v>170</v>
      </c>
      <c r="I390" s="10">
        <f>_xlfn.XLOOKUP(E390,Table18[Product],Table18[Cost_Price])</f>
        <v>85</v>
      </c>
      <c r="J390" s="10">
        <v>1</v>
      </c>
      <c r="K390" s="10">
        <f t="shared" si="19"/>
        <v>169</v>
      </c>
      <c r="L390" s="10">
        <f t="shared" si="20"/>
        <v>84</v>
      </c>
      <c r="M390" t="s">
        <v>64</v>
      </c>
      <c r="N390" t="s">
        <v>54</v>
      </c>
      <c r="O390" t="s">
        <v>65</v>
      </c>
      <c r="P390">
        <v>5</v>
      </c>
    </row>
    <row r="391" spans="1:16" x14ac:dyDescent="0.25">
      <c r="A391" t="str">
        <f t="shared" si="18"/>
        <v>ORD0390</v>
      </c>
      <c r="B391" s="3">
        <v>46098</v>
      </c>
      <c r="C391" t="s">
        <v>92</v>
      </c>
      <c r="D391" t="s">
        <v>68</v>
      </c>
      <c r="E391" t="s">
        <v>30</v>
      </c>
      <c r="F391" t="s">
        <v>31</v>
      </c>
      <c r="G391">
        <v>4</v>
      </c>
      <c r="H391" s="10">
        <f>_xlfn.XLOOKUP(E391,Table18[Product],Table18[Unit_Price])</f>
        <v>110</v>
      </c>
      <c r="I391" s="10">
        <f>_xlfn.XLOOKUP(E391,Table18[Product],Table18[Cost_Price])</f>
        <v>55</v>
      </c>
      <c r="J391" s="10">
        <v>36</v>
      </c>
      <c r="K391" s="10">
        <f t="shared" si="19"/>
        <v>404</v>
      </c>
      <c r="L391" s="10">
        <f t="shared" si="20"/>
        <v>184</v>
      </c>
      <c r="M391" t="s">
        <v>49</v>
      </c>
      <c r="N391" t="s">
        <v>54</v>
      </c>
      <c r="O391" t="s">
        <v>73</v>
      </c>
      <c r="P391">
        <v>5</v>
      </c>
    </row>
    <row r="392" spans="1:16" x14ac:dyDescent="0.25">
      <c r="A392" t="str">
        <f t="shared" si="18"/>
        <v>ORD0391</v>
      </c>
      <c r="B392" s="3">
        <v>46191</v>
      </c>
      <c r="C392" t="s">
        <v>83</v>
      </c>
      <c r="D392" t="s">
        <v>63</v>
      </c>
      <c r="E392" t="s">
        <v>32</v>
      </c>
      <c r="F392" t="s">
        <v>31</v>
      </c>
      <c r="G392">
        <v>2</v>
      </c>
      <c r="H392" s="10">
        <f>_xlfn.XLOOKUP(E392,Table18[Product],Table18[Unit_Price])</f>
        <v>130</v>
      </c>
      <c r="I392" s="10">
        <f>_xlfn.XLOOKUP(E392,Table18[Product],Table18[Cost_Price])</f>
        <v>65</v>
      </c>
      <c r="J392" s="10">
        <v>7</v>
      </c>
      <c r="K392" s="10">
        <f t="shared" si="19"/>
        <v>253</v>
      </c>
      <c r="L392" s="10">
        <f t="shared" si="20"/>
        <v>123</v>
      </c>
      <c r="M392" t="s">
        <v>61</v>
      </c>
      <c r="N392" t="s">
        <v>54</v>
      </c>
      <c r="O392" t="s">
        <v>73</v>
      </c>
      <c r="P392">
        <v>4</v>
      </c>
    </row>
    <row r="393" spans="1:16" x14ac:dyDescent="0.25">
      <c r="A393" t="str">
        <f t="shared" si="18"/>
        <v>ORD0392</v>
      </c>
      <c r="B393" s="3">
        <v>46359</v>
      </c>
      <c r="C393" t="s">
        <v>100</v>
      </c>
      <c r="D393" t="s">
        <v>52</v>
      </c>
      <c r="E393" t="s">
        <v>24</v>
      </c>
      <c r="F393" t="s">
        <v>23</v>
      </c>
      <c r="G393">
        <v>1</v>
      </c>
      <c r="H393" s="10">
        <f>_xlfn.XLOOKUP(E393,Table18[Product],Table18[Unit_Price])</f>
        <v>210</v>
      </c>
      <c r="I393" s="10">
        <f>_xlfn.XLOOKUP(E393,Table18[Product],Table18[Cost_Price])</f>
        <v>105</v>
      </c>
      <c r="J393" s="10">
        <v>18</v>
      </c>
      <c r="K393" s="10">
        <f t="shared" si="19"/>
        <v>192</v>
      </c>
      <c r="L393" s="10">
        <f t="shared" si="20"/>
        <v>87</v>
      </c>
      <c r="M393" t="s">
        <v>53</v>
      </c>
      <c r="N393" t="s">
        <v>54</v>
      </c>
      <c r="O393" t="s">
        <v>73</v>
      </c>
      <c r="P393">
        <v>5</v>
      </c>
    </row>
    <row r="394" spans="1:16" x14ac:dyDescent="0.25">
      <c r="A394" t="str">
        <f t="shared" si="18"/>
        <v>ORD0393</v>
      </c>
      <c r="B394" s="3">
        <v>46023</v>
      </c>
      <c r="C394" t="s">
        <v>89</v>
      </c>
      <c r="D394" t="s">
        <v>70</v>
      </c>
      <c r="E394" t="s">
        <v>30</v>
      </c>
      <c r="F394" t="s">
        <v>31</v>
      </c>
      <c r="G394">
        <v>5</v>
      </c>
      <c r="H394" s="10">
        <f>_xlfn.XLOOKUP(E394,Table18[Product],Table18[Unit_Price])</f>
        <v>110</v>
      </c>
      <c r="I394" s="10">
        <f>_xlfn.XLOOKUP(E394,Table18[Product],Table18[Cost_Price])</f>
        <v>55</v>
      </c>
      <c r="J394" s="10">
        <v>32</v>
      </c>
      <c r="K394" s="10">
        <f t="shared" si="19"/>
        <v>518</v>
      </c>
      <c r="L394" s="10">
        <f t="shared" si="20"/>
        <v>243</v>
      </c>
      <c r="M394" t="s">
        <v>57</v>
      </c>
      <c r="N394" t="s">
        <v>58</v>
      </c>
      <c r="O394" t="s">
        <v>67</v>
      </c>
      <c r="P394">
        <v>5</v>
      </c>
    </row>
    <row r="395" spans="1:16" x14ac:dyDescent="0.25">
      <c r="A395" t="str">
        <f t="shared" si="18"/>
        <v>ORD0394</v>
      </c>
      <c r="B395" s="3">
        <v>46180</v>
      </c>
      <c r="C395" t="s">
        <v>101</v>
      </c>
      <c r="D395" t="s">
        <v>56</v>
      </c>
      <c r="E395" t="s">
        <v>16</v>
      </c>
      <c r="F395" t="s">
        <v>17</v>
      </c>
      <c r="G395">
        <v>5</v>
      </c>
      <c r="H395" s="10">
        <f>_xlfn.XLOOKUP(E395,Table18[Product],Table18[Unit_Price])</f>
        <v>120</v>
      </c>
      <c r="I395" s="10">
        <f>_xlfn.XLOOKUP(E395,Table18[Product],Table18[Cost_Price])</f>
        <v>60</v>
      </c>
      <c r="J395" s="10">
        <v>11</v>
      </c>
      <c r="K395" s="10">
        <f t="shared" si="19"/>
        <v>589</v>
      </c>
      <c r="L395" s="10">
        <f t="shared" si="20"/>
        <v>289</v>
      </c>
      <c r="M395" t="s">
        <v>53</v>
      </c>
      <c r="N395" t="s">
        <v>58</v>
      </c>
      <c r="O395" t="s">
        <v>55</v>
      </c>
      <c r="P395">
        <v>4</v>
      </c>
    </row>
    <row r="396" spans="1:16" x14ac:dyDescent="0.25">
      <c r="A396" t="str">
        <f t="shared" si="18"/>
        <v>ORD0395</v>
      </c>
      <c r="B396" s="3">
        <v>46218</v>
      </c>
      <c r="C396" t="s">
        <v>78</v>
      </c>
      <c r="D396" t="s">
        <v>74</v>
      </c>
      <c r="E396" t="s">
        <v>18</v>
      </c>
      <c r="F396" t="s">
        <v>17</v>
      </c>
      <c r="G396">
        <v>5</v>
      </c>
      <c r="H396" s="10">
        <f>_xlfn.XLOOKUP(E396,Table18[Product],Table18[Unit_Price])</f>
        <v>180</v>
      </c>
      <c r="I396" s="10">
        <f>_xlfn.XLOOKUP(E396,Table18[Product],Table18[Cost_Price])</f>
        <v>90</v>
      </c>
      <c r="J396" s="10">
        <v>44</v>
      </c>
      <c r="K396" s="10">
        <f t="shared" si="19"/>
        <v>856</v>
      </c>
      <c r="L396" s="10">
        <f t="shared" si="20"/>
        <v>406</v>
      </c>
      <c r="M396" t="s">
        <v>49</v>
      </c>
      <c r="N396" t="s">
        <v>54</v>
      </c>
      <c r="O396" t="s">
        <v>62</v>
      </c>
      <c r="P396">
        <v>4</v>
      </c>
    </row>
    <row r="397" spans="1:16" x14ac:dyDescent="0.25">
      <c r="A397" t="str">
        <f t="shared" si="18"/>
        <v>ORD0396</v>
      </c>
      <c r="B397" s="3">
        <v>46207</v>
      </c>
      <c r="C397" t="s">
        <v>78</v>
      </c>
      <c r="D397" t="s">
        <v>72</v>
      </c>
      <c r="E397" t="s">
        <v>34</v>
      </c>
      <c r="F397" t="s">
        <v>35</v>
      </c>
      <c r="G397">
        <v>3</v>
      </c>
      <c r="H397" s="10">
        <f>_xlfn.XLOOKUP(E397,Table18[Product],Table18[Unit_Price])</f>
        <v>180</v>
      </c>
      <c r="I397" s="10">
        <f>_xlfn.XLOOKUP(E397,Table18[Product],Table18[Cost_Price])</f>
        <v>90</v>
      </c>
      <c r="J397" s="10">
        <v>19</v>
      </c>
      <c r="K397" s="10">
        <f t="shared" si="19"/>
        <v>521</v>
      </c>
      <c r="L397" s="10">
        <f t="shared" si="20"/>
        <v>251</v>
      </c>
      <c r="M397" t="s">
        <v>61</v>
      </c>
      <c r="N397" t="s">
        <v>54</v>
      </c>
      <c r="O397" t="s">
        <v>59</v>
      </c>
      <c r="P397">
        <v>3</v>
      </c>
    </row>
    <row r="398" spans="1:16" x14ac:dyDescent="0.25">
      <c r="A398" t="str">
        <f t="shared" si="18"/>
        <v>ORD0397</v>
      </c>
      <c r="B398" s="3">
        <v>46161</v>
      </c>
      <c r="C398" t="s">
        <v>79</v>
      </c>
      <c r="D398" t="s">
        <v>48</v>
      </c>
      <c r="E398" t="s">
        <v>39</v>
      </c>
      <c r="F398" t="s">
        <v>40</v>
      </c>
      <c r="G398">
        <v>3</v>
      </c>
      <c r="H398" s="10">
        <f>_xlfn.XLOOKUP(E398,Table18[Product],Table18[Unit_Price])</f>
        <v>240</v>
      </c>
      <c r="I398" s="10">
        <f>_xlfn.XLOOKUP(E398,Table18[Product],Table18[Cost_Price])</f>
        <v>120</v>
      </c>
      <c r="J398" s="10">
        <v>31</v>
      </c>
      <c r="K398" s="10">
        <f t="shared" si="19"/>
        <v>689</v>
      </c>
      <c r="L398" s="10">
        <f t="shared" si="20"/>
        <v>329</v>
      </c>
      <c r="M398" t="s">
        <v>49</v>
      </c>
      <c r="N398" t="s">
        <v>50</v>
      </c>
      <c r="O398" t="s">
        <v>55</v>
      </c>
      <c r="P398">
        <v>5</v>
      </c>
    </row>
    <row r="399" spans="1:16" x14ac:dyDescent="0.25">
      <c r="A399" t="str">
        <f t="shared" si="18"/>
        <v>ORD0398</v>
      </c>
      <c r="B399" s="3">
        <v>46344</v>
      </c>
      <c r="C399" t="s">
        <v>84</v>
      </c>
      <c r="D399" t="s">
        <v>72</v>
      </c>
      <c r="E399" t="s">
        <v>16</v>
      </c>
      <c r="F399" t="s">
        <v>17</v>
      </c>
      <c r="G399">
        <v>5</v>
      </c>
      <c r="H399" s="10">
        <f>_xlfn.XLOOKUP(E399,Table18[Product],Table18[Unit_Price])</f>
        <v>120</v>
      </c>
      <c r="I399" s="10">
        <f>_xlfn.XLOOKUP(E399,Table18[Product],Table18[Cost_Price])</f>
        <v>60</v>
      </c>
      <c r="J399" s="10">
        <v>42</v>
      </c>
      <c r="K399" s="10">
        <f t="shared" si="19"/>
        <v>558</v>
      </c>
      <c r="L399" s="10">
        <f t="shared" si="20"/>
        <v>258</v>
      </c>
      <c r="M399" t="s">
        <v>53</v>
      </c>
      <c r="N399" t="s">
        <v>54</v>
      </c>
      <c r="O399" t="s">
        <v>73</v>
      </c>
      <c r="P399">
        <v>3</v>
      </c>
    </row>
    <row r="400" spans="1:16" x14ac:dyDescent="0.25">
      <c r="A400" t="str">
        <f t="shared" si="18"/>
        <v>ORD0399</v>
      </c>
      <c r="B400" s="3">
        <v>46259</v>
      </c>
      <c r="C400" t="s">
        <v>103</v>
      </c>
      <c r="D400" t="s">
        <v>68</v>
      </c>
      <c r="E400" t="s">
        <v>19</v>
      </c>
      <c r="F400" t="s">
        <v>17</v>
      </c>
      <c r="G400">
        <v>2</v>
      </c>
      <c r="H400" s="10">
        <f>_xlfn.XLOOKUP(E400,Table18[Product],Table18[Unit_Price])</f>
        <v>200</v>
      </c>
      <c r="I400" s="10">
        <f>_xlfn.XLOOKUP(E400,Table18[Product],Table18[Cost_Price])</f>
        <v>100</v>
      </c>
      <c r="J400" s="10">
        <v>25</v>
      </c>
      <c r="K400" s="10">
        <f t="shared" si="19"/>
        <v>375</v>
      </c>
      <c r="L400" s="10">
        <f t="shared" si="20"/>
        <v>175</v>
      </c>
      <c r="M400" t="s">
        <v>49</v>
      </c>
      <c r="N400" t="s">
        <v>54</v>
      </c>
      <c r="O400" t="s">
        <v>75</v>
      </c>
      <c r="P400">
        <v>4</v>
      </c>
    </row>
    <row r="401" spans="1:16" x14ac:dyDescent="0.25">
      <c r="A401" t="str">
        <f t="shared" si="18"/>
        <v>ORD0400</v>
      </c>
      <c r="B401" s="3">
        <v>46045</v>
      </c>
      <c r="C401" t="s">
        <v>90</v>
      </c>
      <c r="D401" t="s">
        <v>60</v>
      </c>
      <c r="E401" t="s">
        <v>33</v>
      </c>
      <c r="F401" t="s">
        <v>31</v>
      </c>
      <c r="G401">
        <v>3</v>
      </c>
      <c r="H401" s="10">
        <f>_xlfn.XLOOKUP(E401,Table18[Product],Table18[Unit_Price])</f>
        <v>150</v>
      </c>
      <c r="I401" s="10">
        <f>_xlfn.XLOOKUP(E401,Table18[Product],Table18[Cost_Price])</f>
        <v>75</v>
      </c>
      <c r="J401" s="10">
        <v>38</v>
      </c>
      <c r="K401" s="10">
        <f t="shared" si="19"/>
        <v>412</v>
      </c>
      <c r="L401" s="10">
        <f t="shared" si="20"/>
        <v>187</v>
      </c>
      <c r="M401" t="s">
        <v>61</v>
      </c>
      <c r="N401" t="s">
        <v>50</v>
      </c>
      <c r="O401" t="s">
        <v>55</v>
      </c>
      <c r="P401">
        <v>5</v>
      </c>
    </row>
    <row r="402" spans="1:16" x14ac:dyDescent="0.25">
      <c r="A402" t="str">
        <f t="shared" si="18"/>
        <v>ORD0401</v>
      </c>
      <c r="B402" s="3">
        <v>46269</v>
      </c>
      <c r="C402" t="s">
        <v>90</v>
      </c>
      <c r="D402" t="s">
        <v>66</v>
      </c>
      <c r="E402" t="s">
        <v>18</v>
      </c>
      <c r="F402" t="s">
        <v>17</v>
      </c>
      <c r="G402">
        <v>1</v>
      </c>
      <c r="H402" s="10">
        <f>_xlfn.XLOOKUP(E402,Table18[Product],Table18[Unit_Price])</f>
        <v>180</v>
      </c>
      <c r="I402" s="10">
        <f>_xlfn.XLOOKUP(E402,Table18[Product],Table18[Cost_Price])</f>
        <v>90</v>
      </c>
      <c r="J402" s="10">
        <v>13</v>
      </c>
      <c r="K402" s="10">
        <f t="shared" si="19"/>
        <v>167</v>
      </c>
      <c r="L402" s="10">
        <f t="shared" si="20"/>
        <v>77</v>
      </c>
      <c r="M402" t="s">
        <v>64</v>
      </c>
      <c r="N402" t="s">
        <v>58</v>
      </c>
      <c r="O402" t="s">
        <v>71</v>
      </c>
      <c r="P402">
        <v>4</v>
      </c>
    </row>
    <row r="403" spans="1:16" x14ac:dyDescent="0.25">
      <c r="A403" t="str">
        <f t="shared" si="18"/>
        <v>ORD0402</v>
      </c>
      <c r="B403" s="3">
        <v>46358</v>
      </c>
      <c r="C403" t="s">
        <v>94</v>
      </c>
      <c r="D403" t="s">
        <v>52</v>
      </c>
      <c r="E403" t="s">
        <v>33</v>
      </c>
      <c r="F403" t="s">
        <v>31</v>
      </c>
      <c r="G403">
        <v>2</v>
      </c>
      <c r="H403" s="10">
        <f>_xlfn.XLOOKUP(E403,Table18[Product],Table18[Unit_Price])</f>
        <v>150</v>
      </c>
      <c r="I403" s="10">
        <f>_xlfn.XLOOKUP(E403,Table18[Product],Table18[Cost_Price])</f>
        <v>75</v>
      </c>
      <c r="J403" s="10">
        <v>33</v>
      </c>
      <c r="K403" s="10">
        <f t="shared" si="19"/>
        <v>267</v>
      </c>
      <c r="L403" s="10">
        <f t="shared" si="20"/>
        <v>117</v>
      </c>
      <c r="M403" t="s">
        <v>53</v>
      </c>
      <c r="N403" t="s">
        <v>58</v>
      </c>
      <c r="O403" t="s">
        <v>75</v>
      </c>
      <c r="P403">
        <v>5</v>
      </c>
    </row>
    <row r="404" spans="1:16" x14ac:dyDescent="0.25">
      <c r="A404" t="str">
        <f t="shared" si="18"/>
        <v>ORD0403</v>
      </c>
      <c r="B404" s="3">
        <v>46149</v>
      </c>
      <c r="C404" t="s">
        <v>78</v>
      </c>
      <c r="D404" t="s">
        <v>72</v>
      </c>
      <c r="E404" t="s">
        <v>33</v>
      </c>
      <c r="F404" t="s">
        <v>31</v>
      </c>
      <c r="G404">
        <v>2</v>
      </c>
      <c r="H404" s="10">
        <f>_xlfn.XLOOKUP(E404,Table18[Product],Table18[Unit_Price])</f>
        <v>150</v>
      </c>
      <c r="I404" s="10">
        <f>_xlfn.XLOOKUP(E404,Table18[Product],Table18[Cost_Price])</f>
        <v>75</v>
      </c>
      <c r="J404" s="10">
        <v>46</v>
      </c>
      <c r="K404" s="10">
        <f t="shared" si="19"/>
        <v>254</v>
      </c>
      <c r="L404" s="10">
        <f t="shared" si="20"/>
        <v>104</v>
      </c>
      <c r="M404" t="s">
        <v>53</v>
      </c>
      <c r="N404" t="s">
        <v>58</v>
      </c>
      <c r="O404" t="s">
        <v>59</v>
      </c>
      <c r="P404">
        <v>4</v>
      </c>
    </row>
    <row r="405" spans="1:16" x14ac:dyDescent="0.25">
      <c r="A405" t="str">
        <f t="shared" si="18"/>
        <v>ORD0404</v>
      </c>
      <c r="B405" s="3">
        <v>46216</v>
      </c>
      <c r="C405" t="s">
        <v>97</v>
      </c>
      <c r="D405" t="s">
        <v>74</v>
      </c>
      <c r="E405" t="s">
        <v>42</v>
      </c>
      <c r="F405" t="s">
        <v>40</v>
      </c>
      <c r="G405">
        <v>3</v>
      </c>
      <c r="H405" s="10">
        <f>_xlfn.XLOOKUP(E405,Table18[Product],Table18[Unit_Price])</f>
        <v>80</v>
      </c>
      <c r="I405" s="10">
        <f>_xlfn.XLOOKUP(E405,Table18[Product],Table18[Cost_Price])</f>
        <v>40</v>
      </c>
      <c r="J405" s="10">
        <v>13</v>
      </c>
      <c r="K405" s="10">
        <f t="shared" si="19"/>
        <v>227</v>
      </c>
      <c r="L405" s="10">
        <f t="shared" si="20"/>
        <v>107</v>
      </c>
      <c r="M405" t="s">
        <v>64</v>
      </c>
      <c r="N405" t="s">
        <v>58</v>
      </c>
      <c r="O405" t="s">
        <v>67</v>
      </c>
      <c r="P405">
        <v>4</v>
      </c>
    </row>
    <row r="406" spans="1:16" x14ac:dyDescent="0.25">
      <c r="A406" t="str">
        <f t="shared" si="18"/>
        <v>ORD0405</v>
      </c>
      <c r="B406" s="3">
        <v>46179</v>
      </c>
      <c r="C406" t="s">
        <v>88</v>
      </c>
      <c r="D406" t="s">
        <v>66</v>
      </c>
      <c r="E406" t="s">
        <v>36</v>
      </c>
      <c r="F406" t="s">
        <v>35</v>
      </c>
      <c r="G406">
        <v>1</v>
      </c>
      <c r="H406" s="10">
        <f>_xlfn.XLOOKUP(E406,Table18[Product],Table18[Unit_Price])</f>
        <v>220</v>
      </c>
      <c r="I406" s="10">
        <f>_xlfn.XLOOKUP(E406,Table18[Product],Table18[Cost_Price])</f>
        <v>110</v>
      </c>
      <c r="J406" s="10">
        <v>49</v>
      </c>
      <c r="K406" s="10">
        <f t="shared" si="19"/>
        <v>171</v>
      </c>
      <c r="L406" s="10">
        <f t="shared" si="20"/>
        <v>61</v>
      </c>
      <c r="M406" t="s">
        <v>64</v>
      </c>
      <c r="N406" t="s">
        <v>54</v>
      </c>
      <c r="O406" t="s">
        <v>69</v>
      </c>
      <c r="P406">
        <v>5</v>
      </c>
    </row>
    <row r="407" spans="1:16" x14ac:dyDescent="0.25">
      <c r="A407" t="str">
        <f t="shared" si="18"/>
        <v>ORD0406</v>
      </c>
      <c r="B407" s="3">
        <v>46331</v>
      </c>
      <c r="C407" t="s">
        <v>80</v>
      </c>
      <c r="D407" t="s">
        <v>60</v>
      </c>
      <c r="E407" t="s">
        <v>38</v>
      </c>
      <c r="F407" t="s">
        <v>35</v>
      </c>
      <c r="G407">
        <v>3</v>
      </c>
      <c r="H407" s="10">
        <f>_xlfn.XLOOKUP(E407,Table18[Product],Table18[Unit_Price])</f>
        <v>170</v>
      </c>
      <c r="I407" s="10">
        <f>_xlfn.XLOOKUP(E407,Table18[Product],Table18[Cost_Price])</f>
        <v>85</v>
      </c>
      <c r="J407" s="10">
        <v>8</v>
      </c>
      <c r="K407" s="10">
        <f t="shared" si="19"/>
        <v>502</v>
      </c>
      <c r="L407" s="10">
        <f t="shared" si="20"/>
        <v>247</v>
      </c>
      <c r="M407" t="s">
        <v>61</v>
      </c>
      <c r="N407" t="s">
        <v>54</v>
      </c>
      <c r="O407" t="s">
        <v>73</v>
      </c>
      <c r="P407">
        <v>5</v>
      </c>
    </row>
    <row r="408" spans="1:16" x14ac:dyDescent="0.25">
      <c r="A408" t="str">
        <f t="shared" si="18"/>
        <v>ORD0407</v>
      </c>
      <c r="B408" s="3">
        <v>46249</v>
      </c>
      <c r="C408" t="s">
        <v>89</v>
      </c>
      <c r="D408" t="s">
        <v>63</v>
      </c>
      <c r="E408" t="s">
        <v>42</v>
      </c>
      <c r="F408" t="s">
        <v>40</v>
      </c>
      <c r="G408">
        <v>2</v>
      </c>
      <c r="H408" s="10">
        <f>_xlfn.XLOOKUP(E408,Table18[Product],Table18[Unit_Price])</f>
        <v>80</v>
      </c>
      <c r="I408" s="10">
        <f>_xlfn.XLOOKUP(E408,Table18[Product],Table18[Cost_Price])</f>
        <v>40</v>
      </c>
      <c r="J408" s="10">
        <v>43</v>
      </c>
      <c r="K408" s="10">
        <f t="shared" si="19"/>
        <v>117</v>
      </c>
      <c r="L408" s="10">
        <f t="shared" si="20"/>
        <v>37</v>
      </c>
      <c r="M408" t="s">
        <v>64</v>
      </c>
      <c r="N408" t="s">
        <v>54</v>
      </c>
      <c r="O408" t="s">
        <v>71</v>
      </c>
      <c r="P408">
        <v>3</v>
      </c>
    </row>
    <row r="409" spans="1:16" x14ac:dyDescent="0.25">
      <c r="A409" t="str">
        <f t="shared" si="18"/>
        <v>ORD0408</v>
      </c>
      <c r="B409" s="3">
        <v>46081</v>
      </c>
      <c r="C409" t="s">
        <v>83</v>
      </c>
      <c r="D409" t="s">
        <v>52</v>
      </c>
      <c r="E409" t="s">
        <v>24</v>
      </c>
      <c r="F409" t="s">
        <v>23</v>
      </c>
      <c r="G409">
        <v>4</v>
      </c>
      <c r="H409" s="10">
        <f>_xlfn.XLOOKUP(E409,Table18[Product],Table18[Unit_Price])</f>
        <v>210</v>
      </c>
      <c r="I409" s="10">
        <f>_xlfn.XLOOKUP(E409,Table18[Product],Table18[Cost_Price])</f>
        <v>105</v>
      </c>
      <c r="J409" s="10">
        <v>14</v>
      </c>
      <c r="K409" s="10">
        <f t="shared" si="19"/>
        <v>826</v>
      </c>
      <c r="L409" s="10">
        <f t="shared" si="20"/>
        <v>406</v>
      </c>
      <c r="M409" t="s">
        <v>53</v>
      </c>
      <c r="N409" t="s">
        <v>54</v>
      </c>
      <c r="O409" t="s">
        <v>69</v>
      </c>
      <c r="P409">
        <v>4</v>
      </c>
    </row>
    <row r="410" spans="1:16" x14ac:dyDescent="0.25">
      <c r="A410" t="str">
        <f t="shared" si="18"/>
        <v>ORD0409</v>
      </c>
      <c r="B410" s="3">
        <v>46308</v>
      </c>
      <c r="C410" t="s">
        <v>86</v>
      </c>
      <c r="D410" t="s">
        <v>72</v>
      </c>
      <c r="E410" t="s">
        <v>29</v>
      </c>
      <c r="F410" t="s">
        <v>28</v>
      </c>
      <c r="G410">
        <v>1</v>
      </c>
      <c r="H410" s="10">
        <f>_xlfn.XLOOKUP(E410,Table18[Product],Table18[Unit_Price])</f>
        <v>120</v>
      </c>
      <c r="I410" s="10">
        <f>_xlfn.XLOOKUP(E410,Table18[Product],Table18[Cost_Price])</f>
        <v>60</v>
      </c>
      <c r="J410" s="10">
        <v>28</v>
      </c>
      <c r="K410" s="10">
        <f t="shared" si="19"/>
        <v>92</v>
      </c>
      <c r="L410" s="10">
        <f t="shared" si="20"/>
        <v>32</v>
      </c>
      <c r="M410" t="s">
        <v>57</v>
      </c>
      <c r="N410" t="s">
        <v>58</v>
      </c>
      <c r="O410" t="s">
        <v>73</v>
      </c>
      <c r="P410">
        <v>5</v>
      </c>
    </row>
    <row r="411" spans="1:16" x14ac:dyDescent="0.25">
      <c r="A411" t="str">
        <f t="shared" si="18"/>
        <v>ORD0410</v>
      </c>
      <c r="B411" s="3">
        <v>46344</v>
      </c>
      <c r="C411" t="s">
        <v>91</v>
      </c>
      <c r="D411" t="s">
        <v>52</v>
      </c>
      <c r="E411" t="s">
        <v>21</v>
      </c>
      <c r="F411" t="s">
        <v>17</v>
      </c>
      <c r="G411">
        <v>4</v>
      </c>
      <c r="H411" s="10">
        <f>_xlfn.XLOOKUP(E411,Table18[Product],Table18[Unit_Price])</f>
        <v>220</v>
      </c>
      <c r="I411" s="10">
        <f>_xlfn.XLOOKUP(E411,Table18[Product],Table18[Cost_Price])</f>
        <v>110</v>
      </c>
      <c r="J411" s="10">
        <v>32</v>
      </c>
      <c r="K411" s="10">
        <f t="shared" si="19"/>
        <v>848</v>
      </c>
      <c r="L411" s="10">
        <f t="shared" si="20"/>
        <v>408</v>
      </c>
      <c r="M411" t="s">
        <v>53</v>
      </c>
      <c r="N411" t="s">
        <v>54</v>
      </c>
      <c r="O411" t="s">
        <v>62</v>
      </c>
      <c r="P411">
        <v>4</v>
      </c>
    </row>
    <row r="412" spans="1:16" x14ac:dyDescent="0.25">
      <c r="A412" t="str">
        <f t="shared" si="18"/>
        <v>ORD0411</v>
      </c>
      <c r="B412" s="3">
        <v>46257</v>
      </c>
      <c r="C412" t="s">
        <v>90</v>
      </c>
      <c r="D412" t="s">
        <v>74</v>
      </c>
      <c r="E412" t="s">
        <v>29</v>
      </c>
      <c r="F412" t="s">
        <v>28</v>
      </c>
      <c r="G412">
        <v>1</v>
      </c>
      <c r="H412" s="10">
        <f>_xlfn.XLOOKUP(E412,Table18[Product],Table18[Unit_Price])</f>
        <v>120</v>
      </c>
      <c r="I412" s="10">
        <f>_xlfn.XLOOKUP(E412,Table18[Product],Table18[Cost_Price])</f>
        <v>60</v>
      </c>
      <c r="J412" s="10">
        <v>10</v>
      </c>
      <c r="K412" s="10">
        <f t="shared" si="19"/>
        <v>110</v>
      </c>
      <c r="L412" s="10">
        <f t="shared" si="20"/>
        <v>50</v>
      </c>
      <c r="M412" t="s">
        <v>53</v>
      </c>
      <c r="N412" t="s">
        <v>58</v>
      </c>
      <c r="O412" t="s">
        <v>65</v>
      </c>
      <c r="P412">
        <v>4</v>
      </c>
    </row>
    <row r="413" spans="1:16" x14ac:dyDescent="0.25">
      <c r="A413" t="str">
        <f t="shared" si="18"/>
        <v>ORD0412</v>
      </c>
      <c r="B413" s="3">
        <v>46321</v>
      </c>
      <c r="C413" t="s">
        <v>84</v>
      </c>
      <c r="D413" t="s">
        <v>74</v>
      </c>
      <c r="E413" t="s">
        <v>42</v>
      </c>
      <c r="F413" t="s">
        <v>40</v>
      </c>
      <c r="G413">
        <v>5</v>
      </c>
      <c r="H413" s="10">
        <f>_xlfn.XLOOKUP(E413,Table18[Product],Table18[Unit_Price])</f>
        <v>80</v>
      </c>
      <c r="I413" s="10">
        <f>_xlfn.XLOOKUP(E413,Table18[Product],Table18[Cost_Price])</f>
        <v>40</v>
      </c>
      <c r="J413" s="10">
        <v>3</v>
      </c>
      <c r="K413" s="10">
        <f t="shared" si="19"/>
        <v>397</v>
      </c>
      <c r="L413" s="10">
        <f t="shared" si="20"/>
        <v>197</v>
      </c>
      <c r="M413" t="s">
        <v>64</v>
      </c>
      <c r="N413" t="s">
        <v>50</v>
      </c>
      <c r="O413" t="s">
        <v>73</v>
      </c>
      <c r="P413">
        <v>4</v>
      </c>
    </row>
    <row r="414" spans="1:16" x14ac:dyDescent="0.25">
      <c r="A414" t="str">
        <f t="shared" si="18"/>
        <v>ORD0413</v>
      </c>
      <c r="B414" s="3">
        <v>46154</v>
      </c>
      <c r="C414" t="s">
        <v>97</v>
      </c>
      <c r="D414" t="s">
        <v>66</v>
      </c>
      <c r="E414" t="s">
        <v>24</v>
      </c>
      <c r="F414" t="s">
        <v>23</v>
      </c>
      <c r="G414">
        <v>2</v>
      </c>
      <c r="H414" s="10">
        <f>_xlfn.XLOOKUP(E414,Table18[Product],Table18[Unit_Price])</f>
        <v>210</v>
      </c>
      <c r="I414" s="10">
        <f>_xlfn.XLOOKUP(E414,Table18[Product],Table18[Cost_Price])</f>
        <v>105</v>
      </c>
      <c r="J414" s="10">
        <v>27</v>
      </c>
      <c r="K414" s="10">
        <f t="shared" si="19"/>
        <v>393</v>
      </c>
      <c r="L414" s="10">
        <f t="shared" si="20"/>
        <v>183</v>
      </c>
      <c r="M414" t="s">
        <v>64</v>
      </c>
      <c r="N414" t="s">
        <v>50</v>
      </c>
      <c r="O414" t="s">
        <v>55</v>
      </c>
      <c r="P414">
        <v>5</v>
      </c>
    </row>
    <row r="415" spans="1:16" x14ac:dyDescent="0.25">
      <c r="A415" t="str">
        <f t="shared" si="18"/>
        <v>ORD0414</v>
      </c>
      <c r="B415" s="3">
        <v>46285</v>
      </c>
      <c r="C415" t="s">
        <v>105</v>
      </c>
      <c r="D415" t="s">
        <v>60</v>
      </c>
      <c r="E415" t="s">
        <v>25</v>
      </c>
      <c r="F415" t="s">
        <v>26</v>
      </c>
      <c r="G415">
        <v>1</v>
      </c>
      <c r="H415" s="10">
        <f>_xlfn.XLOOKUP(E415,Table18[Product],Table18[Unit_Price])</f>
        <v>170</v>
      </c>
      <c r="I415" s="10">
        <f>_xlfn.XLOOKUP(E415,Table18[Product],Table18[Cost_Price])</f>
        <v>85</v>
      </c>
      <c r="J415" s="10">
        <v>47</v>
      </c>
      <c r="K415" s="10">
        <f t="shared" si="19"/>
        <v>123</v>
      </c>
      <c r="L415" s="10">
        <f t="shared" si="20"/>
        <v>38</v>
      </c>
      <c r="M415" t="s">
        <v>61</v>
      </c>
      <c r="N415" t="s">
        <v>50</v>
      </c>
      <c r="O415" t="s">
        <v>62</v>
      </c>
      <c r="P415">
        <v>5</v>
      </c>
    </row>
    <row r="416" spans="1:16" x14ac:dyDescent="0.25">
      <c r="A416" t="str">
        <f t="shared" si="18"/>
        <v>ORD0415</v>
      </c>
      <c r="B416" s="3">
        <v>46115</v>
      </c>
      <c r="C416" t="s">
        <v>105</v>
      </c>
      <c r="D416" t="s">
        <v>74</v>
      </c>
      <c r="E416" t="s">
        <v>39</v>
      </c>
      <c r="F416" t="s">
        <v>40</v>
      </c>
      <c r="G416">
        <v>3</v>
      </c>
      <c r="H416" s="10">
        <f>_xlfn.XLOOKUP(E416,Table18[Product],Table18[Unit_Price])</f>
        <v>240</v>
      </c>
      <c r="I416" s="10">
        <f>_xlfn.XLOOKUP(E416,Table18[Product],Table18[Cost_Price])</f>
        <v>120</v>
      </c>
      <c r="J416" s="10">
        <v>23</v>
      </c>
      <c r="K416" s="10">
        <f t="shared" si="19"/>
        <v>697</v>
      </c>
      <c r="L416" s="10">
        <f t="shared" si="20"/>
        <v>337</v>
      </c>
      <c r="M416" t="s">
        <v>53</v>
      </c>
      <c r="N416" t="s">
        <v>58</v>
      </c>
      <c r="O416" t="s">
        <v>75</v>
      </c>
      <c r="P416">
        <v>3</v>
      </c>
    </row>
    <row r="417" spans="1:16" x14ac:dyDescent="0.25">
      <c r="A417" t="str">
        <f t="shared" si="18"/>
        <v>ORD0416</v>
      </c>
      <c r="B417" s="3">
        <v>46328</v>
      </c>
      <c r="C417" t="s">
        <v>101</v>
      </c>
      <c r="D417" t="s">
        <v>70</v>
      </c>
      <c r="E417" t="s">
        <v>38</v>
      </c>
      <c r="F417" t="s">
        <v>35</v>
      </c>
      <c r="G417">
        <v>2</v>
      </c>
      <c r="H417" s="10">
        <f>_xlfn.XLOOKUP(E417,Table18[Product],Table18[Unit_Price])</f>
        <v>170</v>
      </c>
      <c r="I417" s="10">
        <f>_xlfn.XLOOKUP(E417,Table18[Product],Table18[Cost_Price])</f>
        <v>85</v>
      </c>
      <c r="J417" s="10">
        <v>36</v>
      </c>
      <c r="K417" s="10">
        <f t="shared" si="19"/>
        <v>304</v>
      </c>
      <c r="L417" s="10">
        <f t="shared" si="20"/>
        <v>134</v>
      </c>
      <c r="M417" t="s">
        <v>49</v>
      </c>
      <c r="N417" t="s">
        <v>50</v>
      </c>
      <c r="O417" t="s">
        <v>62</v>
      </c>
      <c r="P417">
        <v>3</v>
      </c>
    </row>
    <row r="418" spans="1:16" x14ac:dyDescent="0.25">
      <c r="A418" t="str">
        <f t="shared" si="18"/>
        <v>ORD0417</v>
      </c>
      <c r="B418" s="3">
        <v>46044</v>
      </c>
      <c r="C418" t="s">
        <v>85</v>
      </c>
      <c r="D418" t="s">
        <v>60</v>
      </c>
      <c r="E418" t="s">
        <v>24</v>
      </c>
      <c r="F418" t="s">
        <v>23</v>
      </c>
      <c r="G418">
        <v>1</v>
      </c>
      <c r="H418" s="10">
        <f>_xlfn.XLOOKUP(E418,Table18[Product],Table18[Unit_Price])</f>
        <v>210</v>
      </c>
      <c r="I418" s="10">
        <f>_xlfn.XLOOKUP(E418,Table18[Product],Table18[Cost_Price])</f>
        <v>105</v>
      </c>
      <c r="J418" s="10">
        <v>11</v>
      </c>
      <c r="K418" s="10">
        <f t="shared" si="19"/>
        <v>199</v>
      </c>
      <c r="L418" s="10">
        <f t="shared" si="20"/>
        <v>94</v>
      </c>
      <c r="M418" t="s">
        <v>57</v>
      </c>
      <c r="N418" t="s">
        <v>54</v>
      </c>
      <c r="O418" t="s">
        <v>73</v>
      </c>
      <c r="P418">
        <v>4</v>
      </c>
    </row>
    <row r="419" spans="1:16" x14ac:dyDescent="0.25">
      <c r="A419" t="str">
        <f t="shared" si="18"/>
        <v>ORD0418</v>
      </c>
      <c r="B419" s="3">
        <v>46183</v>
      </c>
      <c r="C419" t="s">
        <v>105</v>
      </c>
      <c r="D419" t="s">
        <v>68</v>
      </c>
      <c r="E419" t="s">
        <v>38</v>
      </c>
      <c r="F419" t="s">
        <v>35</v>
      </c>
      <c r="G419">
        <v>4</v>
      </c>
      <c r="H419" s="10">
        <f>_xlfn.XLOOKUP(E419,Table18[Product],Table18[Unit_Price])</f>
        <v>170</v>
      </c>
      <c r="I419" s="10">
        <f>_xlfn.XLOOKUP(E419,Table18[Product],Table18[Cost_Price])</f>
        <v>85</v>
      </c>
      <c r="J419" s="10">
        <v>12</v>
      </c>
      <c r="K419" s="10">
        <f t="shared" si="19"/>
        <v>668</v>
      </c>
      <c r="L419" s="10">
        <f t="shared" si="20"/>
        <v>328</v>
      </c>
      <c r="M419" t="s">
        <v>53</v>
      </c>
      <c r="N419" t="s">
        <v>58</v>
      </c>
      <c r="O419" t="s">
        <v>71</v>
      </c>
      <c r="P419">
        <v>5</v>
      </c>
    </row>
    <row r="420" spans="1:16" x14ac:dyDescent="0.25">
      <c r="A420" t="str">
        <f t="shared" si="18"/>
        <v>ORD0419</v>
      </c>
      <c r="B420" s="3">
        <v>46379</v>
      </c>
      <c r="C420" t="s">
        <v>80</v>
      </c>
      <c r="D420" t="s">
        <v>56</v>
      </c>
      <c r="E420" t="s">
        <v>24</v>
      </c>
      <c r="F420" t="s">
        <v>23</v>
      </c>
      <c r="G420">
        <v>3</v>
      </c>
      <c r="H420" s="10">
        <f>_xlfn.XLOOKUP(E420,Table18[Product],Table18[Unit_Price])</f>
        <v>210</v>
      </c>
      <c r="I420" s="10">
        <f>_xlfn.XLOOKUP(E420,Table18[Product],Table18[Cost_Price])</f>
        <v>105</v>
      </c>
      <c r="J420" s="10">
        <v>13</v>
      </c>
      <c r="K420" s="10">
        <f t="shared" si="19"/>
        <v>617</v>
      </c>
      <c r="L420" s="10">
        <f t="shared" si="20"/>
        <v>302</v>
      </c>
      <c r="M420" t="s">
        <v>57</v>
      </c>
      <c r="N420" t="s">
        <v>50</v>
      </c>
      <c r="O420" t="s">
        <v>65</v>
      </c>
      <c r="P420">
        <v>5</v>
      </c>
    </row>
    <row r="421" spans="1:16" x14ac:dyDescent="0.25">
      <c r="A421" t="str">
        <f t="shared" si="18"/>
        <v>ORD0420</v>
      </c>
      <c r="B421" s="3">
        <v>46243</v>
      </c>
      <c r="C421" t="s">
        <v>80</v>
      </c>
      <c r="D421" t="s">
        <v>68</v>
      </c>
      <c r="E421" t="s">
        <v>36</v>
      </c>
      <c r="F421" t="s">
        <v>35</v>
      </c>
      <c r="G421">
        <v>2</v>
      </c>
      <c r="H421" s="10">
        <f>_xlfn.XLOOKUP(E421,Table18[Product],Table18[Unit_Price])</f>
        <v>220</v>
      </c>
      <c r="I421" s="10">
        <f>_xlfn.XLOOKUP(E421,Table18[Product],Table18[Cost_Price])</f>
        <v>110</v>
      </c>
      <c r="J421" s="10">
        <v>44</v>
      </c>
      <c r="K421" s="10">
        <f t="shared" si="19"/>
        <v>396</v>
      </c>
      <c r="L421" s="10">
        <f t="shared" si="20"/>
        <v>176</v>
      </c>
      <c r="M421" t="s">
        <v>57</v>
      </c>
      <c r="N421" t="s">
        <v>50</v>
      </c>
      <c r="O421" t="s">
        <v>67</v>
      </c>
      <c r="P421">
        <v>3</v>
      </c>
    </row>
    <row r="422" spans="1:16" x14ac:dyDescent="0.25">
      <c r="A422" t="str">
        <f t="shared" si="18"/>
        <v>ORD0421</v>
      </c>
      <c r="B422" s="3">
        <v>46103</v>
      </c>
      <c r="C422" t="s">
        <v>101</v>
      </c>
      <c r="D422" t="s">
        <v>52</v>
      </c>
      <c r="E422" t="s">
        <v>42</v>
      </c>
      <c r="F422" t="s">
        <v>40</v>
      </c>
      <c r="G422">
        <v>5</v>
      </c>
      <c r="H422" s="10">
        <f>_xlfn.XLOOKUP(E422,Table18[Product],Table18[Unit_Price])</f>
        <v>80</v>
      </c>
      <c r="I422" s="10">
        <f>_xlfn.XLOOKUP(E422,Table18[Product],Table18[Cost_Price])</f>
        <v>40</v>
      </c>
      <c r="J422" s="10">
        <v>7</v>
      </c>
      <c r="K422" s="10">
        <f t="shared" si="19"/>
        <v>393</v>
      </c>
      <c r="L422" s="10">
        <f t="shared" si="20"/>
        <v>193</v>
      </c>
      <c r="M422" t="s">
        <v>53</v>
      </c>
      <c r="N422" t="s">
        <v>50</v>
      </c>
      <c r="O422" t="s">
        <v>59</v>
      </c>
      <c r="P422">
        <v>3</v>
      </c>
    </row>
    <row r="423" spans="1:16" x14ac:dyDescent="0.25">
      <c r="A423" t="str">
        <f t="shared" si="18"/>
        <v>ORD0422</v>
      </c>
      <c r="B423" s="3">
        <v>46307</v>
      </c>
      <c r="C423" t="s">
        <v>85</v>
      </c>
      <c r="D423" t="s">
        <v>48</v>
      </c>
      <c r="E423" t="s">
        <v>38</v>
      </c>
      <c r="F423" t="s">
        <v>35</v>
      </c>
      <c r="G423">
        <v>1</v>
      </c>
      <c r="H423" s="10">
        <f>_xlfn.XLOOKUP(E423,Table18[Product],Table18[Unit_Price])</f>
        <v>170</v>
      </c>
      <c r="I423" s="10">
        <f>_xlfn.XLOOKUP(E423,Table18[Product],Table18[Cost_Price])</f>
        <v>85</v>
      </c>
      <c r="J423" s="10">
        <v>0</v>
      </c>
      <c r="K423" s="10">
        <f t="shared" si="19"/>
        <v>170</v>
      </c>
      <c r="L423" s="10">
        <f t="shared" si="20"/>
        <v>85</v>
      </c>
      <c r="M423" t="s">
        <v>64</v>
      </c>
      <c r="N423" t="s">
        <v>58</v>
      </c>
      <c r="O423" t="s">
        <v>51</v>
      </c>
      <c r="P423">
        <v>4</v>
      </c>
    </row>
    <row r="424" spans="1:16" x14ac:dyDescent="0.25">
      <c r="A424" t="str">
        <f t="shared" si="18"/>
        <v>ORD0423</v>
      </c>
      <c r="B424" s="3">
        <v>46334</v>
      </c>
      <c r="C424" t="s">
        <v>82</v>
      </c>
      <c r="D424" t="s">
        <v>56</v>
      </c>
      <c r="E424" t="s">
        <v>19</v>
      </c>
      <c r="F424" t="s">
        <v>17</v>
      </c>
      <c r="G424">
        <v>1</v>
      </c>
      <c r="H424" s="10">
        <f>_xlfn.XLOOKUP(E424,Table18[Product],Table18[Unit_Price])</f>
        <v>200</v>
      </c>
      <c r="I424" s="10">
        <f>_xlfn.XLOOKUP(E424,Table18[Product],Table18[Cost_Price])</f>
        <v>100</v>
      </c>
      <c r="J424" s="10">
        <v>33</v>
      </c>
      <c r="K424" s="10">
        <f t="shared" si="19"/>
        <v>167</v>
      </c>
      <c r="L424" s="10">
        <f t="shared" si="20"/>
        <v>67</v>
      </c>
      <c r="M424" t="s">
        <v>49</v>
      </c>
      <c r="N424" t="s">
        <v>50</v>
      </c>
      <c r="O424" t="s">
        <v>65</v>
      </c>
      <c r="P424">
        <v>4</v>
      </c>
    </row>
    <row r="425" spans="1:16" x14ac:dyDescent="0.25">
      <c r="A425" t="str">
        <f t="shared" si="18"/>
        <v>ORD0424</v>
      </c>
      <c r="B425" s="3">
        <v>46178</v>
      </c>
      <c r="C425" t="s">
        <v>96</v>
      </c>
      <c r="D425" t="s">
        <v>66</v>
      </c>
      <c r="E425" t="s">
        <v>37</v>
      </c>
      <c r="F425" t="s">
        <v>35</v>
      </c>
      <c r="G425">
        <v>2</v>
      </c>
      <c r="H425" s="10">
        <f>_xlfn.XLOOKUP(E425,Table18[Product],Table18[Unit_Price])</f>
        <v>160</v>
      </c>
      <c r="I425" s="10">
        <f>_xlfn.XLOOKUP(E425,Table18[Product],Table18[Cost_Price])</f>
        <v>80</v>
      </c>
      <c r="J425" s="10">
        <v>19</v>
      </c>
      <c r="K425" s="10">
        <f t="shared" si="19"/>
        <v>301</v>
      </c>
      <c r="L425" s="10">
        <f t="shared" si="20"/>
        <v>141</v>
      </c>
      <c r="M425" t="s">
        <v>57</v>
      </c>
      <c r="N425" t="s">
        <v>54</v>
      </c>
      <c r="O425" t="s">
        <v>73</v>
      </c>
      <c r="P425">
        <v>4</v>
      </c>
    </row>
    <row r="426" spans="1:16" x14ac:dyDescent="0.25">
      <c r="A426" t="str">
        <f t="shared" si="18"/>
        <v>ORD0425</v>
      </c>
      <c r="B426" s="3">
        <v>46289</v>
      </c>
      <c r="C426" t="s">
        <v>97</v>
      </c>
      <c r="D426" t="s">
        <v>48</v>
      </c>
      <c r="E426" t="s">
        <v>20</v>
      </c>
      <c r="F426" t="s">
        <v>17</v>
      </c>
      <c r="G426">
        <v>3</v>
      </c>
      <c r="H426" s="10">
        <f>_xlfn.XLOOKUP(E426,Table18[Product],Table18[Unit_Price])</f>
        <v>150</v>
      </c>
      <c r="I426" s="10">
        <f>_xlfn.XLOOKUP(E426,Table18[Product],Table18[Cost_Price])</f>
        <v>75</v>
      </c>
      <c r="J426" s="10">
        <v>16</v>
      </c>
      <c r="K426" s="10">
        <f t="shared" si="19"/>
        <v>434</v>
      </c>
      <c r="L426" s="10">
        <f t="shared" si="20"/>
        <v>209</v>
      </c>
      <c r="M426" t="s">
        <v>61</v>
      </c>
      <c r="N426" t="s">
        <v>58</v>
      </c>
      <c r="O426" t="s">
        <v>69</v>
      </c>
      <c r="P426">
        <v>5</v>
      </c>
    </row>
    <row r="427" spans="1:16" x14ac:dyDescent="0.25">
      <c r="A427" t="str">
        <f t="shared" si="18"/>
        <v>ORD0426</v>
      </c>
      <c r="B427" s="3">
        <v>46347</v>
      </c>
      <c r="C427" t="s">
        <v>103</v>
      </c>
      <c r="D427" t="s">
        <v>48</v>
      </c>
      <c r="E427" t="s">
        <v>18</v>
      </c>
      <c r="F427" t="s">
        <v>17</v>
      </c>
      <c r="G427">
        <v>5</v>
      </c>
      <c r="H427" s="10">
        <f>_xlfn.XLOOKUP(E427,Table18[Product],Table18[Unit_Price])</f>
        <v>180</v>
      </c>
      <c r="I427" s="10">
        <f>_xlfn.XLOOKUP(E427,Table18[Product],Table18[Cost_Price])</f>
        <v>90</v>
      </c>
      <c r="J427" s="10">
        <v>28</v>
      </c>
      <c r="K427" s="10">
        <f t="shared" si="19"/>
        <v>872</v>
      </c>
      <c r="L427" s="10">
        <f t="shared" si="20"/>
        <v>422</v>
      </c>
      <c r="M427" t="s">
        <v>53</v>
      </c>
      <c r="N427" t="s">
        <v>54</v>
      </c>
      <c r="O427" t="s">
        <v>55</v>
      </c>
      <c r="P427">
        <v>5</v>
      </c>
    </row>
    <row r="428" spans="1:16" x14ac:dyDescent="0.25">
      <c r="A428" t="str">
        <f t="shared" si="18"/>
        <v>ORD0427</v>
      </c>
      <c r="B428" s="3">
        <v>46301</v>
      </c>
      <c r="C428" t="s">
        <v>88</v>
      </c>
      <c r="D428" t="s">
        <v>48</v>
      </c>
      <c r="E428" t="s">
        <v>41</v>
      </c>
      <c r="F428" t="s">
        <v>40</v>
      </c>
      <c r="G428">
        <v>4</v>
      </c>
      <c r="H428" s="10">
        <f>_xlfn.XLOOKUP(E428,Table18[Product],Table18[Unit_Price])</f>
        <v>100</v>
      </c>
      <c r="I428" s="10">
        <f>_xlfn.XLOOKUP(E428,Table18[Product],Table18[Cost_Price])</f>
        <v>50</v>
      </c>
      <c r="J428" s="10">
        <v>19</v>
      </c>
      <c r="K428" s="10">
        <f t="shared" si="19"/>
        <v>381</v>
      </c>
      <c r="L428" s="10">
        <f t="shared" si="20"/>
        <v>181</v>
      </c>
      <c r="M428" t="s">
        <v>49</v>
      </c>
      <c r="N428" t="s">
        <v>54</v>
      </c>
      <c r="O428" t="s">
        <v>71</v>
      </c>
      <c r="P428">
        <v>3</v>
      </c>
    </row>
    <row r="429" spans="1:16" x14ac:dyDescent="0.25">
      <c r="A429" t="str">
        <f t="shared" si="18"/>
        <v>ORD0428</v>
      </c>
      <c r="B429" s="3">
        <v>46304</v>
      </c>
      <c r="C429" t="s">
        <v>79</v>
      </c>
      <c r="D429" t="s">
        <v>60</v>
      </c>
      <c r="E429" t="s">
        <v>27</v>
      </c>
      <c r="F429" t="s">
        <v>28</v>
      </c>
      <c r="G429">
        <v>4</v>
      </c>
      <c r="H429" s="10">
        <f>_xlfn.XLOOKUP(E429,Table18[Product],Table18[Unit_Price])</f>
        <v>140</v>
      </c>
      <c r="I429" s="10">
        <f>_xlfn.XLOOKUP(E429,Table18[Product],Table18[Cost_Price])</f>
        <v>70</v>
      </c>
      <c r="J429" s="10">
        <v>28</v>
      </c>
      <c r="K429" s="10">
        <f t="shared" si="19"/>
        <v>532</v>
      </c>
      <c r="L429" s="10">
        <f t="shared" si="20"/>
        <v>252</v>
      </c>
      <c r="M429" t="s">
        <v>49</v>
      </c>
      <c r="N429" t="s">
        <v>58</v>
      </c>
      <c r="O429" t="s">
        <v>59</v>
      </c>
      <c r="P429">
        <v>3</v>
      </c>
    </row>
    <row r="430" spans="1:16" x14ac:dyDescent="0.25">
      <c r="A430" t="str">
        <f t="shared" si="18"/>
        <v>ORD0429</v>
      </c>
      <c r="B430" s="3">
        <v>46229</v>
      </c>
      <c r="C430" t="s">
        <v>85</v>
      </c>
      <c r="D430" t="s">
        <v>70</v>
      </c>
      <c r="E430" t="s">
        <v>42</v>
      </c>
      <c r="F430" t="s">
        <v>40</v>
      </c>
      <c r="G430">
        <v>4</v>
      </c>
      <c r="H430" s="10">
        <f>_xlfn.XLOOKUP(E430,Table18[Product],Table18[Unit_Price])</f>
        <v>80</v>
      </c>
      <c r="I430" s="10">
        <f>_xlfn.XLOOKUP(E430,Table18[Product],Table18[Cost_Price])</f>
        <v>40</v>
      </c>
      <c r="J430" s="10">
        <v>16</v>
      </c>
      <c r="K430" s="10">
        <f t="shared" si="19"/>
        <v>304</v>
      </c>
      <c r="L430" s="10">
        <f t="shared" si="20"/>
        <v>144</v>
      </c>
      <c r="M430" t="s">
        <v>49</v>
      </c>
      <c r="N430" t="s">
        <v>58</v>
      </c>
      <c r="O430" t="s">
        <v>69</v>
      </c>
      <c r="P430">
        <v>3</v>
      </c>
    </row>
    <row r="431" spans="1:16" x14ac:dyDescent="0.25">
      <c r="A431" t="str">
        <f t="shared" si="18"/>
        <v>ORD0430</v>
      </c>
      <c r="B431" s="3">
        <v>46364</v>
      </c>
      <c r="C431" t="s">
        <v>100</v>
      </c>
      <c r="D431" t="s">
        <v>63</v>
      </c>
      <c r="E431" t="s">
        <v>21</v>
      </c>
      <c r="F431" t="s">
        <v>17</v>
      </c>
      <c r="G431">
        <v>5</v>
      </c>
      <c r="H431" s="10">
        <f>_xlfn.XLOOKUP(E431,Table18[Product],Table18[Unit_Price])</f>
        <v>220</v>
      </c>
      <c r="I431" s="10">
        <f>_xlfn.XLOOKUP(E431,Table18[Product],Table18[Cost_Price])</f>
        <v>110</v>
      </c>
      <c r="J431" s="10">
        <v>42</v>
      </c>
      <c r="K431" s="10">
        <f t="shared" si="19"/>
        <v>1058</v>
      </c>
      <c r="L431" s="10">
        <f t="shared" si="20"/>
        <v>508</v>
      </c>
      <c r="M431" t="s">
        <v>57</v>
      </c>
      <c r="N431" t="s">
        <v>58</v>
      </c>
      <c r="O431" t="s">
        <v>73</v>
      </c>
      <c r="P431">
        <v>3</v>
      </c>
    </row>
    <row r="432" spans="1:16" x14ac:dyDescent="0.25">
      <c r="A432" t="str">
        <f t="shared" si="18"/>
        <v>ORD0431</v>
      </c>
      <c r="B432" s="3">
        <v>46351</v>
      </c>
      <c r="C432" t="s">
        <v>105</v>
      </c>
      <c r="D432" t="s">
        <v>52</v>
      </c>
      <c r="E432" t="s">
        <v>37</v>
      </c>
      <c r="F432" t="s">
        <v>35</v>
      </c>
      <c r="G432">
        <v>2</v>
      </c>
      <c r="H432" s="10">
        <f>_xlfn.XLOOKUP(E432,Table18[Product],Table18[Unit_Price])</f>
        <v>160</v>
      </c>
      <c r="I432" s="10">
        <f>_xlfn.XLOOKUP(E432,Table18[Product],Table18[Cost_Price])</f>
        <v>80</v>
      </c>
      <c r="J432" s="10">
        <v>46</v>
      </c>
      <c r="K432" s="10">
        <f t="shared" si="19"/>
        <v>274</v>
      </c>
      <c r="L432" s="10">
        <f t="shared" si="20"/>
        <v>114</v>
      </c>
      <c r="M432" t="s">
        <v>57</v>
      </c>
      <c r="N432" t="s">
        <v>54</v>
      </c>
      <c r="O432" t="s">
        <v>62</v>
      </c>
      <c r="P432">
        <v>3</v>
      </c>
    </row>
    <row r="433" spans="1:16" x14ac:dyDescent="0.25">
      <c r="A433" t="str">
        <f t="shared" si="18"/>
        <v>ORD0432</v>
      </c>
      <c r="B433" s="3">
        <v>46278</v>
      </c>
      <c r="C433" t="s">
        <v>100</v>
      </c>
      <c r="D433" t="s">
        <v>72</v>
      </c>
      <c r="E433" t="s">
        <v>42</v>
      </c>
      <c r="F433" t="s">
        <v>40</v>
      </c>
      <c r="G433">
        <v>2</v>
      </c>
      <c r="H433" s="10">
        <f>_xlfn.XLOOKUP(E433,Table18[Product],Table18[Unit_Price])</f>
        <v>80</v>
      </c>
      <c r="I433" s="10">
        <f>_xlfn.XLOOKUP(E433,Table18[Product],Table18[Cost_Price])</f>
        <v>40</v>
      </c>
      <c r="J433" s="10">
        <v>28</v>
      </c>
      <c r="K433" s="10">
        <f t="shared" si="19"/>
        <v>132</v>
      </c>
      <c r="L433" s="10">
        <f t="shared" si="20"/>
        <v>52</v>
      </c>
      <c r="M433" t="s">
        <v>64</v>
      </c>
      <c r="N433" t="s">
        <v>58</v>
      </c>
      <c r="O433" t="s">
        <v>59</v>
      </c>
      <c r="P433">
        <v>4</v>
      </c>
    </row>
    <row r="434" spans="1:16" x14ac:dyDescent="0.25">
      <c r="A434" t="str">
        <f t="shared" si="18"/>
        <v>ORD0433</v>
      </c>
      <c r="B434" s="3">
        <v>46178</v>
      </c>
      <c r="C434" t="s">
        <v>99</v>
      </c>
      <c r="D434" t="s">
        <v>48</v>
      </c>
      <c r="E434" t="s">
        <v>36</v>
      </c>
      <c r="F434" t="s">
        <v>35</v>
      </c>
      <c r="G434">
        <v>1</v>
      </c>
      <c r="H434" s="10">
        <f>_xlfn.XLOOKUP(E434,Table18[Product],Table18[Unit_Price])</f>
        <v>220</v>
      </c>
      <c r="I434" s="10">
        <f>_xlfn.XLOOKUP(E434,Table18[Product],Table18[Cost_Price])</f>
        <v>110</v>
      </c>
      <c r="J434" s="10">
        <v>33</v>
      </c>
      <c r="K434" s="10">
        <f t="shared" si="19"/>
        <v>187</v>
      </c>
      <c r="L434" s="10">
        <f t="shared" si="20"/>
        <v>77</v>
      </c>
      <c r="M434" t="s">
        <v>61</v>
      </c>
      <c r="N434" t="s">
        <v>50</v>
      </c>
      <c r="O434" t="s">
        <v>55</v>
      </c>
      <c r="P434">
        <v>3</v>
      </c>
    </row>
    <row r="435" spans="1:16" x14ac:dyDescent="0.25">
      <c r="A435" t="str">
        <f t="shared" si="18"/>
        <v>ORD0434</v>
      </c>
      <c r="B435" s="3">
        <v>46301</v>
      </c>
      <c r="C435" t="s">
        <v>95</v>
      </c>
      <c r="D435" t="s">
        <v>66</v>
      </c>
      <c r="E435" t="s">
        <v>27</v>
      </c>
      <c r="F435" t="s">
        <v>28</v>
      </c>
      <c r="G435">
        <v>2</v>
      </c>
      <c r="H435" s="10">
        <f>_xlfn.XLOOKUP(E435,Table18[Product],Table18[Unit_Price])</f>
        <v>140</v>
      </c>
      <c r="I435" s="10">
        <f>_xlfn.XLOOKUP(E435,Table18[Product],Table18[Cost_Price])</f>
        <v>70</v>
      </c>
      <c r="J435" s="10">
        <v>17</v>
      </c>
      <c r="K435" s="10">
        <f t="shared" si="19"/>
        <v>263</v>
      </c>
      <c r="L435" s="10">
        <f t="shared" si="20"/>
        <v>123</v>
      </c>
      <c r="M435" t="s">
        <v>57</v>
      </c>
      <c r="N435" t="s">
        <v>50</v>
      </c>
      <c r="O435" t="s">
        <v>69</v>
      </c>
      <c r="P435">
        <v>3</v>
      </c>
    </row>
    <row r="436" spans="1:16" x14ac:dyDescent="0.25">
      <c r="A436" t="str">
        <f t="shared" si="18"/>
        <v>ORD0435</v>
      </c>
      <c r="B436" s="3">
        <v>46181</v>
      </c>
      <c r="C436" t="s">
        <v>102</v>
      </c>
      <c r="D436" t="s">
        <v>60</v>
      </c>
      <c r="E436" t="s">
        <v>16</v>
      </c>
      <c r="F436" t="s">
        <v>17</v>
      </c>
      <c r="G436">
        <v>2</v>
      </c>
      <c r="H436" s="10">
        <f>_xlfn.XLOOKUP(E436,Table18[Product],Table18[Unit_Price])</f>
        <v>120</v>
      </c>
      <c r="I436" s="10">
        <f>_xlfn.XLOOKUP(E436,Table18[Product],Table18[Cost_Price])</f>
        <v>60</v>
      </c>
      <c r="J436" s="10">
        <v>11</v>
      </c>
      <c r="K436" s="10">
        <f t="shared" si="19"/>
        <v>229</v>
      </c>
      <c r="L436" s="10">
        <f t="shared" si="20"/>
        <v>109</v>
      </c>
      <c r="M436" t="s">
        <v>53</v>
      </c>
      <c r="N436" t="s">
        <v>58</v>
      </c>
      <c r="O436" t="s">
        <v>67</v>
      </c>
      <c r="P436">
        <v>3</v>
      </c>
    </row>
    <row r="437" spans="1:16" x14ac:dyDescent="0.25">
      <c r="A437" t="str">
        <f t="shared" si="18"/>
        <v>ORD0436</v>
      </c>
      <c r="B437" s="3">
        <v>46277</v>
      </c>
      <c r="C437" t="s">
        <v>91</v>
      </c>
      <c r="D437" t="s">
        <v>68</v>
      </c>
      <c r="E437" t="s">
        <v>19</v>
      </c>
      <c r="F437" t="s">
        <v>17</v>
      </c>
      <c r="G437">
        <v>4</v>
      </c>
      <c r="H437" s="10">
        <f>_xlfn.XLOOKUP(E437,Table18[Product],Table18[Unit_Price])</f>
        <v>200</v>
      </c>
      <c r="I437" s="10">
        <f>_xlfn.XLOOKUP(E437,Table18[Product],Table18[Cost_Price])</f>
        <v>100</v>
      </c>
      <c r="J437" s="10">
        <v>20</v>
      </c>
      <c r="K437" s="10">
        <f t="shared" si="19"/>
        <v>780</v>
      </c>
      <c r="L437" s="10">
        <f t="shared" si="20"/>
        <v>380</v>
      </c>
      <c r="M437" t="s">
        <v>53</v>
      </c>
      <c r="N437" t="s">
        <v>58</v>
      </c>
      <c r="O437" t="s">
        <v>71</v>
      </c>
      <c r="P437">
        <v>5</v>
      </c>
    </row>
    <row r="438" spans="1:16" x14ac:dyDescent="0.25">
      <c r="A438" t="str">
        <f t="shared" si="18"/>
        <v>ORD0437</v>
      </c>
      <c r="B438" s="3">
        <v>46242</v>
      </c>
      <c r="C438" t="s">
        <v>95</v>
      </c>
      <c r="D438" t="s">
        <v>74</v>
      </c>
      <c r="E438" t="s">
        <v>22</v>
      </c>
      <c r="F438" t="s">
        <v>23</v>
      </c>
      <c r="G438">
        <v>4</v>
      </c>
      <c r="H438" s="10">
        <f>_xlfn.XLOOKUP(E438,Table18[Product],Table18[Unit_Price])</f>
        <v>190</v>
      </c>
      <c r="I438" s="10">
        <f>_xlfn.XLOOKUP(E438,Table18[Product],Table18[Cost_Price])</f>
        <v>95</v>
      </c>
      <c r="J438" s="10">
        <v>7</v>
      </c>
      <c r="K438" s="10">
        <f t="shared" si="19"/>
        <v>753</v>
      </c>
      <c r="L438" s="10">
        <f t="shared" si="20"/>
        <v>373</v>
      </c>
      <c r="M438" t="s">
        <v>49</v>
      </c>
      <c r="N438" t="s">
        <v>54</v>
      </c>
      <c r="O438" t="s">
        <v>65</v>
      </c>
      <c r="P438">
        <v>3</v>
      </c>
    </row>
    <row r="439" spans="1:16" x14ac:dyDescent="0.25">
      <c r="A439" t="str">
        <f t="shared" si="18"/>
        <v>ORD0438</v>
      </c>
      <c r="B439" s="3">
        <v>46104</v>
      </c>
      <c r="C439" t="s">
        <v>86</v>
      </c>
      <c r="D439" t="s">
        <v>52</v>
      </c>
      <c r="E439" t="s">
        <v>41</v>
      </c>
      <c r="F439" t="s">
        <v>40</v>
      </c>
      <c r="G439">
        <v>4</v>
      </c>
      <c r="H439" s="10">
        <f>_xlfn.XLOOKUP(E439,Table18[Product],Table18[Unit_Price])</f>
        <v>100</v>
      </c>
      <c r="I439" s="10">
        <f>_xlfn.XLOOKUP(E439,Table18[Product],Table18[Cost_Price])</f>
        <v>50</v>
      </c>
      <c r="J439" s="10">
        <v>46</v>
      </c>
      <c r="K439" s="10">
        <f t="shared" si="19"/>
        <v>354</v>
      </c>
      <c r="L439" s="10">
        <f t="shared" si="20"/>
        <v>154</v>
      </c>
      <c r="M439" t="s">
        <v>53</v>
      </c>
      <c r="N439" t="s">
        <v>54</v>
      </c>
      <c r="O439" t="s">
        <v>71</v>
      </c>
      <c r="P439">
        <v>5</v>
      </c>
    </row>
    <row r="440" spans="1:16" x14ac:dyDescent="0.25">
      <c r="A440" t="str">
        <f t="shared" si="18"/>
        <v>ORD0439</v>
      </c>
      <c r="B440" s="3">
        <v>46217</v>
      </c>
      <c r="C440" t="s">
        <v>103</v>
      </c>
      <c r="D440" t="s">
        <v>68</v>
      </c>
      <c r="E440" t="s">
        <v>41</v>
      </c>
      <c r="F440" t="s">
        <v>40</v>
      </c>
      <c r="G440">
        <v>3</v>
      </c>
      <c r="H440" s="10">
        <f>_xlfn.XLOOKUP(E440,Table18[Product],Table18[Unit_Price])</f>
        <v>100</v>
      </c>
      <c r="I440" s="10">
        <f>_xlfn.XLOOKUP(E440,Table18[Product],Table18[Cost_Price])</f>
        <v>50</v>
      </c>
      <c r="J440" s="10">
        <v>9</v>
      </c>
      <c r="K440" s="10">
        <f t="shared" si="19"/>
        <v>291</v>
      </c>
      <c r="L440" s="10">
        <f t="shared" si="20"/>
        <v>141</v>
      </c>
      <c r="M440" t="s">
        <v>61</v>
      </c>
      <c r="N440" t="s">
        <v>50</v>
      </c>
      <c r="O440" t="s">
        <v>71</v>
      </c>
      <c r="P440">
        <v>3</v>
      </c>
    </row>
    <row r="441" spans="1:16" x14ac:dyDescent="0.25">
      <c r="A441" t="str">
        <f t="shared" si="18"/>
        <v>ORD0440</v>
      </c>
      <c r="B441" s="3">
        <v>46277</v>
      </c>
      <c r="C441" t="s">
        <v>84</v>
      </c>
      <c r="D441" t="s">
        <v>74</v>
      </c>
      <c r="E441" t="s">
        <v>34</v>
      </c>
      <c r="F441" t="s">
        <v>35</v>
      </c>
      <c r="G441">
        <v>2</v>
      </c>
      <c r="H441" s="10">
        <f>_xlfn.XLOOKUP(E441,Table18[Product],Table18[Unit_Price])</f>
        <v>180</v>
      </c>
      <c r="I441" s="10">
        <f>_xlfn.XLOOKUP(E441,Table18[Product],Table18[Cost_Price])</f>
        <v>90</v>
      </c>
      <c r="J441" s="10">
        <v>7</v>
      </c>
      <c r="K441" s="10">
        <f t="shared" si="19"/>
        <v>353</v>
      </c>
      <c r="L441" s="10">
        <f t="shared" si="20"/>
        <v>173</v>
      </c>
      <c r="M441" t="s">
        <v>64</v>
      </c>
      <c r="N441" t="s">
        <v>54</v>
      </c>
      <c r="O441" t="s">
        <v>69</v>
      </c>
      <c r="P441">
        <v>3</v>
      </c>
    </row>
    <row r="442" spans="1:16" x14ac:dyDescent="0.25">
      <c r="A442" t="str">
        <f t="shared" si="18"/>
        <v>ORD0441</v>
      </c>
      <c r="B442" s="3">
        <v>46067</v>
      </c>
      <c r="C442" t="s">
        <v>81</v>
      </c>
      <c r="D442" t="s">
        <v>60</v>
      </c>
      <c r="E442" t="s">
        <v>34</v>
      </c>
      <c r="F442" t="s">
        <v>35</v>
      </c>
      <c r="G442">
        <v>5</v>
      </c>
      <c r="H442" s="10">
        <f>_xlfn.XLOOKUP(E442,Table18[Product],Table18[Unit_Price])</f>
        <v>180</v>
      </c>
      <c r="I442" s="10">
        <f>_xlfn.XLOOKUP(E442,Table18[Product],Table18[Cost_Price])</f>
        <v>90</v>
      </c>
      <c r="J442" s="10">
        <v>41</v>
      </c>
      <c r="K442" s="10">
        <f t="shared" si="19"/>
        <v>859</v>
      </c>
      <c r="L442" s="10">
        <f t="shared" si="20"/>
        <v>409</v>
      </c>
      <c r="M442" t="s">
        <v>61</v>
      </c>
      <c r="N442" t="s">
        <v>50</v>
      </c>
      <c r="O442" t="s">
        <v>51</v>
      </c>
      <c r="P442">
        <v>4</v>
      </c>
    </row>
    <row r="443" spans="1:16" x14ac:dyDescent="0.25">
      <c r="A443" t="str">
        <f t="shared" si="18"/>
        <v>ORD0442</v>
      </c>
      <c r="B443" s="3">
        <v>46091</v>
      </c>
      <c r="C443" t="s">
        <v>80</v>
      </c>
      <c r="D443" t="s">
        <v>60</v>
      </c>
      <c r="E443" t="s">
        <v>33</v>
      </c>
      <c r="F443" t="s">
        <v>31</v>
      </c>
      <c r="G443">
        <v>5</v>
      </c>
      <c r="H443" s="10">
        <f>_xlfn.XLOOKUP(E443,Table18[Product],Table18[Unit_Price])</f>
        <v>150</v>
      </c>
      <c r="I443" s="10">
        <f>_xlfn.XLOOKUP(E443,Table18[Product],Table18[Cost_Price])</f>
        <v>75</v>
      </c>
      <c r="J443" s="10">
        <v>22</v>
      </c>
      <c r="K443" s="10">
        <f t="shared" si="19"/>
        <v>728</v>
      </c>
      <c r="L443" s="10">
        <f t="shared" si="20"/>
        <v>353</v>
      </c>
      <c r="M443" t="s">
        <v>61</v>
      </c>
      <c r="N443" t="s">
        <v>58</v>
      </c>
      <c r="O443" t="s">
        <v>69</v>
      </c>
      <c r="P443">
        <v>4</v>
      </c>
    </row>
    <row r="444" spans="1:16" x14ac:dyDescent="0.25">
      <c r="A444" t="str">
        <f t="shared" si="18"/>
        <v>ORD0443</v>
      </c>
      <c r="B444" s="3">
        <v>46267</v>
      </c>
      <c r="C444" t="s">
        <v>100</v>
      </c>
      <c r="D444" t="s">
        <v>63</v>
      </c>
      <c r="E444" t="s">
        <v>32</v>
      </c>
      <c r="F444" t="s">
        <v>31</v>
      </c>
      <c r="G444">
        <v>3</v>
      </c>
      <c r="H444" s="10">
        <f>_xlfn.XLOOKUP(E444,Table18[Product],Table18[Unit_Price])</f>
        <v>130</v>
      </c>
      <c r="I444" s="10">
        <f>_xlfn.XLOOKUP(E444,Table18[Product],Table18[Cost_Price])</f>
        <v>65</v>
      </c>
      <c r="J444" s="10">
        <v>20</v>
      </c>
      <c r="K444" s="10">
        <f t="shared" si="19"/>
        <v>370</v>
      </c>
      <c r="L444" s="10">
        <f t="shared" si="20"/>
        <v>175</v>
      </c>
      <c r="M444" t="s">
        <v>53</v>
      </c>
      <c r="N444" t="s">
        <v>50</v>
      </c>
      <c r="O444" t="s">
        <v>51</v>
      </c>
      <c r="P444">
        <v>3</v>
      </c>
    </row>
    <row r="445" spans="1:16" x14ac:dyDescent="0.25">
      <c r="A445" t="str">
        <f t="shared" si="18"/>
        <v>ORD0444</v>
      </c>
      <c r="B445" s="3">
        <v>46275</v>
      </c>
      <c r="C445" t="s">
        <v>76</v>
      </c>
      <c r="D445" t="s">
        <v>72</v>
      </c>
      <c r="E445" t="s">
        <v>20</v>
      </c>
      <c r="F445" t="s">
        <v>17</v>
      </c>
      <c r="G445">
        <v>4</v>
      </c>
      <c r="H445" s="10">
        <f>_xlfn.XLOOKUP(E445,Table18[Product],Table18[Unit_Price])</f>
        <v>150</v>
      </c>
      <c r="I445" s="10">
        <f>_xlfn.XLOOKUP(E445,Table18[Product],Table18[Cost_Price])</f>
        <v>75</v>
      </c>
      <c r="J445" s="10">
        <v>24</v>
      </c>
      <c r="K445" s="10">
        <f t="shared" si="19"/>
        <v>576</v>
      </c>
      <c r="L445" s="10">
        <f t="shared" si="20"/>
        <v>276</v>
      </c>
      <c r="M445" t="s">
        <v>61</v>
      </c>
      <c r="N445" t="s">
        <v>58</v>
      </c>
      <c r="O445" t="s">
        <v>65</v>
      </c>
      <c r="P445">
        <v>3</v>
      </c>
    </row>
    <row r="446" spans="1:16" x14ac:dyDescent="0.25">
      <c r="A446" t="str">
        <f t="shared" si="18"/>
        <v>ORD0445</v>
      </c>
      <c r="B446" s="3">
        <v>46068</v>
      </c>
      <c r="C446" t="s">
        <v>98</v>
      </c>
      <c r="D446" t="s">
        <v>74</v>
      </c>
      <c r="E446" t="s">
        <v>20</v>
      </c>
      <c r="F446" t="s">
        <v>17</v>
      </c>
      <c r="G446">
        <v>3</v>
      </c>
      <c r="H446" s="10">
        <f>_xlfn.XLOOKUP(E446,Table18[Product],Table18[Unit_Price])</f>
        <v>150</v>
      </c>
      <c r="I446" s="10">
        <f>_xlfn.XLOOKUP(E446,Table18[Product],Table18[Cost_Price])</f>
        <v>75</v>
      </c>
      <c r="J446" s="10">
        <v>42</v>
      </c>
      <c r="K446" s="10">
        <f t="shared" si="19"/>
        <v>408</v>
      </c>
      <c r="L446" s="10">
        <f t="shared" si="20"/>
        <v>183</v>
      </c>
      <c r="M446" t="s">
        <v>49</v>
      </c>
      <c r="N446" t="s">
        <v>58</v>
      </c>
      <c r="O446" t="s">
        <v>59</v>
      </c>
      <c r="P446">
        <v>5</v>
      </c>
    </row>
    <row r="447" spans="1:16" x14ac:dyDescent="0.25">
      <c r="A447" t="str">
        <f t="shared" si="18"/>
        <v>ORD0446</v>
      </c>
      <c r="B447" s="3">
        <v>46091</v>
      </c>
      <c r="C447" t="s">
        <v>97</v>
      </c>
      <c r="D447" t="s">
        <v>72</v>
      </c>
      <c r="E447" t="s">
        <v>38</v>
      </c>
      <c r="F447" t="s">
        <v>35</v>
      </c>
      <c r="G447">
        <v>5</v>
      </c>
      <c r="H447" s="10">
        <f>_xlfn.XLOOKUP(E447,Table18[Product],Table18[Unit_Price])</f>
        <v>170</v>
      </c>
      <c r="I447" s="10">
        <f>_xlfn.XLOOKUP(E447,Table18[Product],Table18[Cost_Price])</f>
        <v>85</v>
      </c>
      <c r="J447" s="10">
        <v>4</v>
      </c>
      <c r="K447" s="10">
        <f t="shared" si="19"/>
        <v>846</v>
      </c>
      <c r="L447" s="10">
        <f t="shared" si="20"/>
        <v>421</v>
      </c>
      <c r="M447" t="s">
        <v>49</v>
      </c>
      <c r="N447" t="s">
        <v>54</v>
      </c>
      <c r="O447" t="s">
        <v>51</v>
      </c>
      <c r="P447">
        <v>4</v>
      </c>
    </row>
    <row r="448" spans="1:16" x14ac:dyDescent="0.25">
      <c r="A448" t="str">
        <f t="shared" si="18"/>
        <v>ORD0447</v>
      </c>
      <c r="B448" s="3">
        <v>46292</v>
      </c>
      <c r="C448" t="s">
        <v>103</v>
      </c>
      <c r="D448" t="s">
        <v>56</v>
      </c>
      <c r="E448" t="s">
        <v>38</v>
      </c>
      <c r="F448" t="s">
        <v>35</v>
      </c>
      <c r="G448">
        <v>1</v>
      </c>
      <c r="H448" s="10">
        <f>_xlfn.XLOOKUP(E448,Table18[Product],Table18[Unit_Price])</f>
        <v>170</v>
      </c>
      <c r="I448" s="10">
        <f>_xlfn.XLOOKUP(E448,Table18[Product],Table18[Cost_Price])</f>
        <v>85</v>
      </c>
      <c r="J448" s="10">
        <v>35</v>
      </c>
      <c r="K448" s="10">
        <f t="shared" si="19"/>
        <v>135</v>
      </c>
      <c r="L448" s="10">
        <f t="shared" si="20"/>
        <v>50</v>
      </c>
      <c r="M448" t="s">
        <v>57</v>
      </c>
      <c r="N448" t="s">
        <v>58</v>
      </c>
      <c r="O448" t="s">
        <v>67</v>
      </c>
      <c r="P448">
        <v>3</v>
      </c>
    </row>
    <row r="449" spans="1:16" x14ac:dyDescent="0.25">
      <c r="A449" t="str">
        <f t="shared" si="18"/>
        <v>ORD0448</v>
      </c>
      <c r="B449" s="3">
        <v>46056</v>
      </c>
      <c r="C449" t="s">
        <v>101</v>
      </c>
      <c r="D449" t="s">
        <v>56</v>
      </c>
      <c r="E449" t="s">
        <v>38</v>
      </c>
      <c r="F449" t="s">
        <v>35</v>
      </c>
      <c r="G449">
        <v>5</v>
      </c>
      <c r="H449" s="10">
        <f>_xlfn.XLOOKUP(E449,Table18[Product],Table18[Unit_Price])</f>
        <v>170</v>
      </c>
      <c r="I449" s="10">
        <f>_xlfn.XLOOKUP(E449,Table18[Product],Table18[Cost_Price])</f>
        <v>85</v>
      </c>
      <c r="J449" s="10">
        <v>34</v>
      </c>
      <c r="K449" s="10">
        <f t="shared" si="19"/>
        <v>816</v>
      </c>
      <c r="L449" s="10">
        <f t="shared" si="20"/>
        <v>391</v>
      </c>
      <c r="M449" t="s">
        <v>57</v>
      </c>
      <c r="N449" t="s">
        <v>58</v>
      </c>
      <c r="O449" t="s">
        <v>69</v>
      </c>
      <c r="P449">
        <v>4</v>
      </c>
    </row>
    <row r="450" spans="1:16" x14ac:dyDescent="0.25">
      <c r="A450" t="str">
        <f t="shared" si="18"/>
        <v>ORD0449</v>
      </c>
      <c r="B450" s="3">
        <v>46158</v>
      </c>
      <c r="C450" t="s">
        <v>82</v>
      </c>
      <c r="D450" t="s">
        <v>63</v>
      </c>
      <c r="E450" t="s">
        <v>33</v>
      </c>
      <c r="F450" t="s">
        <v>31</v>
      </c>
      <c r="G450">
        <v>4</v>
      </c>
      <c r="H450" s="10">
        <f>_xlfn.XLOOKUP(E450,Table18[Product],Table18[Unit_Price])</f>
        <v>150</v>
      </c>
      <c r="I450" s="10">
        <f>_xlfn.XLOOKUP(E450,Table18[Product],Table18[Cost_Price])</f>
        <v>75</v>
      </c>
      <c r="J450" s="10">
        <v>33</v>
      </c>
      <c r="K450" s="10">
        <f t="shared" si="19"/>
        <v>567</v>
      </c>
      <c r="L450" s="10">
        <f t="shared" si="20"/>
        <v>267</v>
      </c>
      <c r="M450" t="s">
        <v>64</v>
      </c>
      <c r="N450" t="s">
        <v>50</v>
      </c>
      <c r="O450" t="s">
        <v>62</v>
      </c>
      <c r="P450">
        <v>3</v>
      </c>
    </row>
    <row r="451" spans="1:16" x14ac:dyDescent="0.25">
      <c r="A451" t="str">
        <f t="shared" ref="A451:A514" si="21">"ORD"&amp;TEXT(ROW()-1,"0000")</f>
        <v>ORD0450</v>
      </c>
      <c r="B451" s="3">
        <v>46183</v>
      </c>
      <c r="C451" t="s">
        <v>97</v>
      </c>
      <c r="D451" t="s">
        <v>68</v>
      </c>
      <c r="E451" t="s">
        <v>33</v>
      </c>
      <c r="F451" t="s">
        <v>31</v>
      </c>
      <c r="G451">
        <v>4</v>
      </c>
      <c r="H451" s="10">
        <f>_xlfn.XLOOKUP(E451,Table18[Product],Table18[Unit_Price])</f>
        <v>150</v>
      </c>
      <c r="I451" s="10">
        <f>_xlfn.XLOOKUP(E451,Table18[Product],Table18[Cost_Price])</f>
        <v>75</v>
      </c>
      <c r="J451" s="10">
        <v>11</v>
      </c>
      <c r="K451" s="10">
        <f t="shared" ref="K451:K514" si="22">(G451*H451)-J451</f>
        <v>589</v>
      </c>
      <c r="L451" s="10">
        <f t="shared" ref="L451:L514" si="23">K451-(G451*I451)</f>
        <v>289</v>
      </c>
      <c r="M451" t="s">
        <v>64</v>
      </c>
      <c r="N451" t="s">
        <v>50</v>
      </c>
      <c r="O451" t="s">
        <v>51</v>
      </c>
      <c r="P451">
        <v>4</v>
      </c>
    </row>
    <row r="452" spans="1:16" x14ac:dyDescent="0.25">
      <c r="A452" t="str">
        <f t="shared" si="21"/>
        <v>ORD0451</v>
      </c>
      <c r="B452" s="3">
        <v>46137</v>
      </c>
      <c r="C452" t="s">
        <v>85</v>
      </c>
      <c r="D452" t="s">
        <v>48</v>
      </c>
      <c r="E452" t="s">
        <v>42</v>
      </c>
      <c r="F452" t="s">
        <v>40</v>
      </c>
      <c r="G452">
        <v>5</v>
      </c>
      <c r="H452" s="10">
        <f>_xlfn.XLOOKUP(E452,Table18[Product],Table18[Unit_Price])</f>
        <v>80</v>
      </c>
      <c r="I452" s="10">
        <f>_xlfn.XLOOKUP(E452,Table18[Product],Table18[Cost_Price])</f>
        <v>40</v>
      </c>
      <c r="J452" s="10">
        <v>12</v>
      </c>
      <c r="K452" s="10">
        <f t="shared" si="22"/>
        <v>388</v>
      </c>
      <c r="L452" s="10">
        <f t="shared" si="23"/>
        <v>188</v>
      </c>
      <c r="M452" t="s">
        <v>61</v>
      </c>
      <c r="N452" t="s">
        <v>58</v>
      </c>
      <c r="O452" t="s">
        <v>59</v>
      </c>
      <c r="P452">
        <v>4</v>
      </c>
    </row>
    <row r="453" spans="1:16" x14ac:dyDescent="0.25">
      <c r="A453" t="str">
        <f t="shared" si="21"/>
        <v>ORD0452</v>
      </c>
      <c r="B453" s="3">
        <v>46058</v>
      </c>
      <c r="C453" t="s">
        <v>85</v>
      </c>
      <c r="D453" t="s">
        <v>56</v>
      </c>
      <c r="E453" t="s">
        <v>18</v>
      </c>
      <c r="F453" t="s">
        <v>17</v>
      </c>
      <c r="G453">
        <v>3</v>
      </c>
      <c r="H453" s="10">
        <f>_xlfn.XLOOKUP(E453,Table18[Product],Table18[Unit_Price])</f>
        <v>180</v>
      </c>
      <c r="I453" s="10">
        <f>_xlfn.XLOOKUP(E453,Table18[Product],Table18[Cost_Price])</f>
        <v>90</v>
      </c>
      <c r="J453" s="10">
        <v>8</v>
      </c>
      <c r="K453" s="10">
        <f t="shared" si="22"/>
        <v>532</v>
      </c>
      <c r="L453" s="10">
        <f t="shared" si="23"/>
        <v>262</v>
      </c>
      <c r="M453" t="s">
        <v>64</v>
      </c>
      <c r="N453" t="s">
        <v>58</v>
      </c>
      <c r="O453" t="s">
        <v>69</v>
      </c>
      <c r="P453">
        <v>3</v>
      </c>
    </row>
    <row r="454" spans="1:16" x14ac:dyDescent="0.25">
      <c r="A454" t="str">
        <f t="shared" si="21"/>
        <v>ORD0453</v>
      </c>
      <c r="B454" s="3">
        <v>46333</v>
      </c>
      <c r="C454" t="s">
        <v>85</v>
      </c>
      <c r="D454" t="s">
        <v>63</v>
      </c>
      <c r="E454" t="s">
        <v>37</v>
      </c>
      <c r="F454" t="s">
        <v>35</v>
      </c>
      <c r="G454">
        <v>3</v>
      </c>
      <c r="H454" s="10">
        <f>_xlfn.XLOOKUP(E454,Table18[Product],Table18[Unit_Price])</f>
        <v>160</v>
      </c>
      <c r="I454" s="10">
        <f>_xlfn.XLOOKUP(E454,Table18[Product],Table18[Cost_Price])</f>
        <v>80</v>
      </c>
      <c r="J454" s="10">
        <v>11</v>
      </c>
      <c r="K454" s="10">
        <f t="shared" si="22"/>
        <v>469</v>
      </c>
      <c r="L454" s="10">
        <f t="shared" si="23"/>
        <v>229</v>
      </c>
      <c r="M454" t="s">
        <v>61</v>
      </c>
      <c r="N454" t="s">
        <v>54</v>
      </c>
      <c r="O454" t="s">
        <v>65</v>
      </c>
      <c r="P454">
        <v>5</v>
      </c>
    </row>
    <row r="455" spans="1:16" x14ac:dyDescent="0.25">
      <c r="A455" t="str">
        <f t="shared" si="21"/>
        <v>ORD0454</v>
      </c>
      <c r="B455" s="3">
        <v>46101</v>
      </c>
      <c r="C455" t="s">
        <v>84</v>
      </c>
      <c r="D455" t="s">
        <v>70</v>
      </c>
      <c r="E455" t="s">
        <v>25</v>
      </c>
      <c r="F455" t="s">
        <v>26</v>
      </c>
      <c r="G455">
        <v>5</v>
      </c>
      <c r="H455" s="10">
        <f>_xlfn.XLOOKUP(E455,Table18[Product],Table18[Unit_Price])</f>
        <v>170</v>
      </c>
      <c r="I455" s="10">
        <f>_xlfn.XLOOKUP(E455,Table18[Product],Table18[Cost_Price])</f>
        <v>85</v>
      </c>
      <c r="J455" s="10">
        <v>44</v>
      </c>
      <c r="K455" s="10">
        <f t="shared" si="22"/>
        <v>806</v>
      </c>
      <c r="L455" s="10">
        <f t="shared" si="23"/>
        <v>381</v>
      </c>
      <c r="M455" t="s">
        <v>57</v>
      </c>
      <c r="N455" t="s">
        <v>58</v>
      </c>
      <c r="O455" t="s">
        <v>71</v>
      </c>
      <c r="P455">
        <v>4</v>
      </c>
    </row>
    <row r="456" spans="1:16" x14ac:dyDescent="0.25">
      <c r="A456" t="str">
        <f t="shared" si="21"/>
        <v>ORD0455</v>
      </c>
      <c r="B456" s="3">
        <v>46085</v>
      </c>
      <c r="C456" t="s">
        <v>92</v>
      </c>
      <c r="D456" t="s">
        <v>60</v>
      </c>
      <c r="E456" t="s">
        <v>19</v>
      </c>
      <c r="F456" t="s">
        <v>17</v>
      </c>
      <c r="G456">
        <v>2</v>
      </c>
      <c r="H456" s="10">
        <f>_xlfn.XLOOKUP(E456,Table18[Product],Table18[Unit_Price])</f>
        <v>200</v>
      </c>
      <c r="I456" s="10">
        <f>_xlfn.XLOOKUP(E456,Table18[Product],Table18[Cost_Price])</f>
        <v>100</v>
      </c>
      <c r="J456" s="10">
        <v>50</v>
      </c>
      <c r="K456" s="10">
        <f t="shared" si="22"/>
        <v>350</v>
      </c>
      <c r="L456" s="10">
        <f t="shared" si="23"/>
        <v>150</v>
      </c>
      <c r="M456" t="s">
        <v>57</v>
      </c>
      <c r="N456" t="s">
        <v>58</v>
      </c>
      <c r="O456" t="s">
        <v>62</v>
      </c>
      <c r="P456">
        <v>3</v>
      </c>
    </row>
    <row r="457" spans="1:16" x14ac:dyDescent="0.25">
      <c r="A457" t="str">
        <f t="shared" si="21"/>
        <v>ORD0456</v>
      </c>
      <c r="B457" s="3">
        <v>46337</v>
      </c>
      <c r="C457" t="s">
        <v>95</v>
      </c>
      <c r="D457" t="s">
        <v>70</v>
      </c>
      <c r="E457" t="s">
        <v>33</v>
      </c>
      <c r="F457" t="s">
        <v>31</v>
      </c>
      <c r="G457">
        <v>1</v>
      </c>
      <c r="H457" s="10">
        <f>_xlfn.XLOOKUP(E457,Table18[Product],Table18[Unit_Price])</f>
        <v>150</v>
      </c>
      <c r="I457" s="10">
        <f>_xlfn.XLOOKUP(E457,Table18[Product],Table18[Cost_Price])</f>
        <v>75</v>
      </c>
      <c r="J457" s="10">
        <v>4</v>
      </c>
      <c r="K457" s="10">
        <f t="shared" si="22"/>
        <v>146</v>
      </c>
      <c r="L457" s="10">
        <f t="shared" si="23"/>
        <v>71</v>
      </c>
      <c r="M457" t="s">
        <v>53</v>
      </c>
      <c r="N457" t="s">
        <v>50</v>
      </c>
      <c r="O457" t="s">
        <v>67</v>
      </c>
      <c r="P457">
        <v>5</v>
      </c>
    </row>
    <row r="458" spans="1:16" x14ac:dyDescent="0.25">
      <c r="A458" t="str">
        <f t="shared" si="21"/>
        <v>ORD0457</v>
      </c>
      <c r="B458" s="3">
        <v>46239</v>
      </c>
      <c r="C458" t="s">
        <v>101</v>
      </c>
      <c r="D458" t="s">
        <v>56</v>
      </c>
      <c r="E458" t="s">
        <v>22</v>
      </c>
      <c r="F458" t="s">
        <v>23</v>
      </c>
      <c r="G458">
        <v>3</v>
      </c>
      <c r="H458" s="10">
        <f>_xlfn.XLOOKUP(E458,Table18[Product],Table18[Unit_Price])</f>
        <v>190</v>
      </c>
      <c r="I458" s="10">
        <f>_xlfn.XLOOKUP(E458,Table18[Product],Table18[Cost_Price])</f>
        <v>95</v>
      </c>
      <c r="J458" s="10">
        <v>26</v>
      </c>
      <c r="K458" s="10">
        <f t="shared" si="22"/>
        <v>544</v>
      </c>
      <c r="L458" s="10">
        <f t="shared" si="23"/>
        <v>259</v>
      </c>
      <c r="M458" t="s">
        <v>61</v>
      </c>
      <c r="N458" t="s">
        <v>58</v>
      </c>
      <c r="O458" t="s">
        <v>59</v>
      </c>
      <c r="P458">
        <v>3</v>
      </c>
    </row>
    <row r="459" spans="1:16" x14ac:dyDescent="0.25">
      <c r="A459" t="str">
        <f t="shared" si="21"/>
        <v>ORD0458</v>
      </c>
      <c r="B459" s="3">
        <v>46196</v>
      </c>
      <c r="C459" t="s">
        <v>91</v>
      </c>
      <c r="D459" t="s">
        <v>63</v>
      </c>
      <c r="E459" t="s">
        <v>34</v>
      </c>
      <c r="F459" t="s">
        <v>35</v>
      </c>
      <c r="G459">
        <v>2</v>
      </c>
      <c r="H459" s="10">
        <f>_xlfn.XLOOKUP(E459,Table18[Product],Table18[Unit_Price])</f>
        <v>180</v>
      </c>
      <c r="I459" s="10">
        <f>_xlfn.XLOOKUP(E459,Table18[Product],Table18[Cost_Price])</f>
        <v>90</v>
      </c>
      <c r="J459" s="10">
        <v>9</v>
      </c>
      <c r="K459" s="10">
        <f t="shared" si="22"/>
        <v>351</v>
      </c>
      <c r="L459" s="10">
        <f t="shared" si="23"/>
        <v>171</v>
      </c>
      <c r="M459" t="s">
        <v>61</v>
      </c>
      <c r="N459" t="s">
        <v>50</v>
      </c>
      <c r="O459" t="s">
        <v>75</v>
      </c>
      <c r="P459">
        <v>3</v>
      </c>
    </row>
    <row r="460" spans="1:16" x14ac:dyDescent="0.25">
      <c r="A460" t="str">
        <f t="shared" si="21"/>
        <v>ORD0459</v>
      </c>
      <c r="B460" s="3">
        <v>46349</v>
      </c>
      <c r="C460" t="s">
        <v>87</v>
      </c>
      <c r="D460" t="s">
        <v>70</v>
      </c>
      <c r="E460" t="s">
        <v>42</v>
      </c>
      <c r="F460" t="s">
        <v>40</v>
      </c>
      <c r="G460">
        <v>4</v>
      </c>
      <c r="H460" s="10">
        <f>_xlfn.XLOOKUP(E460,Table18[Product],Table18[Unit_Price])</f>
        <v>80</v>
      </c>
      <c r="I460" s="10">
        <f>_xlfn.XLOOKUP(E460,Table18[Product],Table18[Cost_Price])</f>
        <v>40</v>
      </c>
      <c r="J460" s="10">
        <v>14</v>
      </c>
      <c r="K460" s="10">
        <f t="shared" si="22"/>
        <v>306</v>
      </c>
      <c r="L460" s="10">
        <f t="shared" si="23"/>
        <v>146</v>
      </c>
      <c r="M460" t="s">
        <v>49</v>
      </c>
      <c r="N460" t="s">
        <v>54</v>
      </c>
      <c r="O460" t="s">
        <v>71</v>
      </c>
      <c r="P460">
        <v>3</v>
      </c>
    </row>
    <row r="461" spans="1:16" x14ac:dyDescent="0.25">
      <c r="A461" t="str">
        <f t="shared" si="21"/>
        <v>ORD0460</v>
      </c>
      <c r="B461" s="3">
        <v>46040</v>
      </c>
      <c r="C461" t="s">
        <v>99</v>
      </c>
      <c r="D461" t="s">
        <v>56</v>
      </c>
      <c r="E461" t="s">
        <v>33</v>
      </c>
      <c r="F461" t="s">
        <v>31</v>
      </c>
      <c r="G461">
        <v>4</v>
      </c>
      <c r="H461" s="10">
        <f>_xlfn.XLOOKUP(E461,Table18[Product],Table18[Unit_Price])</f>
        <v>150</v>
      </c>
      <c r="I461" s="10">
        <f>_xlfn.XLOOKUP(E461,Table18[Product],Table18[Cost_Price])</f>
        <v>75</v>
      </c>
      <c r="J461" s="10">
        <v>30</v>
      </c>
      <c r="K461" s="10">
        <f t="shared" si="22"/>
        <v>570</v>
      </c>
      <c r="L461" s="10">
        <f t="shared" si="23"/>
        <v>270</v>
      </c>
      <c r="M461" t="s">
        <v>57</v>
      </c>
      <c r="N461" t="s">
        <v>54</v>
      </c>
      <c r="O461" t="s">
        <v>62</v>
      </c>
      <c r="P461">
        <v>3</v>
      </c>
    </row>
    <row r="462" spans="1:16" x14ac:dyDescent="0.25">
      <c r="A462" t="str">
        <f t="shared" si="21"/>
        <v>ORD0461</v>
      </c>
      <c r="B462" s="3">
        <v>46123</v>
      </c>
      <c r="C462" t="s">
        <v>87</v>
      </c>
      <c r="D462" t="s">
        <v>68</v>
      </c>
      <c r="E462" t="s">
        <v>22</v>
      </c>
      <c r="F462" t="s">
        <v>23</v>
      </c>
      <c r="G462">
        <v>5</v>
      </c>
      <c r="H462" s="10">
        <f>_xlfn.XLOOKUP(E462,Table18[Product],Table18[Unit_Price])</f>
        <v>190</v>
      </c>
      <c r="I462" s="10">
        <f>_xlfn.XLOOKUP(E462,Table18[Product],Table18[Cost_Price])</f>
        <v>95</v>
      </c>
      <c r="J462" s="10">
        <v>21</v>
      </c>
      <c r="K462" s="10">
        <f t="shared" si="22"/>
        <v>929</v>
      </c>
      <c r="L462" s="10">
        <f t="shared" si="23"/>
        <v>454</v>
      </c>
      <c r="M462" t="s">
        <v>57</v>
      </c>
      <c r="N462" t="s">
        <v>50</v>
      </c>
      <c r="O462" t="s">
        <v>55</v>
      </c>
      <c r="P462">
        <v>3</v>
      </c>
    </row>
    <row r="463" spans="1:16" x14ac:dyDescent="0.25">
      <c r="A463" t="str">
        <f t="shared" si="21"/>
        <v>ORD0462</v>
      </c>
      <c r="B463" s="3">
        <v>46130</v>
      </c>
      <c r="C463" t="s">
        <v>85</v>
      </c>
      <c r="D463" t="s">
        <v>52</v>
      </c>
      <c r="E463" t="s">
        <v>22</v>
      </c>
      <c r="F463" t="s">
        <v>23</v>
      </c>
      <c r="G463">
        <v>4</v>
      </c>
      <c r="H463" s="10">
        <f>_xlfn.XLOOKUP(E463,Table18[Product],Table18[Unit_Price])</f>
        <v>190</v>
      </c>
      <c r="I463" s="10">
        <f>_xlfn.XLOOKUP(E463,Table18[Product],Table18[Cost_Price])</f>
        <v>95</v>
      </c>
      <c r="J463" s="10">
        <v>46</v>
      </c>
      <c r="K463" s="10">
        <f t="shared" si="22"/>
        <v>714</v>
      </c>
      <c r="L463" s="10">
        <f t="shared" si="23"/>
        <v>334</v>
      </c>
      <c r="M463" t="s">
        <v>49</v>
      </c>
      <c r="N463" t="s">
        <v>58</v>
      </c>
      <c r="O463" t="s">
        <v>69</v>
      </c>
      <c r="P463">
        <v>5</v>
      </c>
    </row>
    <row r="464" spans="1:16" x14ac:dyDescent="0.25">
      <c r="A464" t="str">
        <f t="shared" si="21"/>
        <v>ORD0463</v>
      </c>
      <c r="B464" s="3">
        <v>46047</v>
      </c>
      <c r="C464" t="s">
        <v>84</v>
      </c>
      <c r="D464" t="s">
        <v>60</v>
      </c>
      <c r="E464" t="s">
        <v>22</v>
      </c>
      <c r="F464" t="s">
        <v>23</v>
      </c>
      <c r="G464">
        <v>4</v>
      </c>
      <c r="H464" s="10">
        <f>_xlfn.XLOOKUP(E464,Table18[Product],Table18[Unit_Price])</f>
        <v>190</v>
      </c>
      <c r="I464" s="10">
        <f>_xlfn.XLOOKUP(E464,Table18[Product],Table18[Cost_Price])</f>
        <v>95</v>
      </c>
      <c r="J464" s="10">
        <v>11</v>
      </c>
      <c r="K464" s="10">
        <f t="shared" si="22"/>
        <v>749</v>
      </c>
      <c r="L464" s="10">
        <f t="shared" si="23"/>
        <v>369</v>
      </c>
      <c r="M464" t="s">
        <v>57</v>
      </c>
      <c r="N464" t="s">
        <v>50</v>
      </c>
      <c r="O464" t="s">
        <v>59</v>
      </c>
      <c r="P464">
        <v>3</v>
      </c>
    </row>
    <row r="465" spans="1:16" x14ac:dyDescent="0.25">
      <c r="A465" t="str">
        <f t="shared" si="21"/>
        <v>ORD0464</v>
      </c>
      <c r="B465" s="3">
        <v>46029</v>
      </c>
      <c r="C465" t="s">
        <v>91</v>
      </c>
      <c r="D465" t="s">
        <v>52</v>
      </c>
      <c r="E465" t="s">
        <v>42</v>
      </c>
      <c r="F465" t="s">
        <v>40</v>
      </c>
      <c r="G465">
        <v>2</v>
      </c>
      <c r="H465" s="10">
        <f>_xlfn.XLOOKUP(E465,Table18[Product],Table18[Unit_Price])</f>
        <v>80</v>
      </c>
      <c r="I465" s="10">
        <f>_xlfn.XLOOKUP(E465,Table18[Product],Table18[Cost_Price])</f>
        <v>40</v>
      </c>
      <c r="J465" s="10">
        <v>15</v>
      </c>
      <c r="K465" s="10">
        <f t="shared" si="22"/>
        <v>145</v>
      </c>
      <c r="L465" s="10">
        <f t="shared" si="23"/>
        <v>65</v>
      </c>
      <c r="M465" t="s">
        <v>49</v>
      </c>
      <c r="N465" t="s">
        <v>54</v>
      </c>
      <c r="O465" t="s">
        <v>67</v>
      </c>
      <c r="P465">
        <v>5</v>
      </c>
    </row>
    <row r="466" spans="1:16" x14ac:dyDescent="0.25">
      <c r="A466" t="str">
        <f t="shared" si="21"/>
        <v>ORD0465</v>
      </c>
      <c r="B466" s="3">
        <v>46231</v>
      </c>
      <c r="C466" t="s">
        <v>98</v>
      </c>
      <c r="D466" t="s">
        <v>70</v>
      </c>
      <c r="E466" t="s">
        <v>25</v>
      </c>
      <c r="F466" t="s">
        <v>26</v>
      </c>
      <c r="G466">
        <v>1</v>
      </c>
      <c r="H466" s="10">
        <f>_xlfn.XLOOKUP(E466,Table18[Product],Table18[Unit_Price])</f>
        <v>170</v>
      </c>
      <c r="I466" s="10">
        <f>_xlfn.XLOOKUP(E466,Table18[Product],Table18[Cost_Price])</f>
        <v>85</v>
      </c>
      <c r="J466" s="10">
        <v>43</v>
      </c>
      <c r="K466" s="10">
        <f t="shared" si="22"/>
        <v>127</v>
      </c>
      <c r="L466" s="10">
        <f t="shared" si="23"/>
        <v>42</v>
      </c>
      <c r="M466" t="s">
        <v>49</v>
      </c>
      <c r="N466" t="s">
        <v>54</v>
      </c>
      <c r="O466" t="s">
        <v>51</v>
      </c>
      <c r="P466">
        <v>5</v>
      </c>
    </row>
    <row r="467" spans="1:16" x14ac:dyDescent="0.25">
      <c r="A467" t="str">
        <f t="shared" si="21"/>
        <v>ORD0466</v>
      </c>
      <c r="B467" s="3">
        <v>46331</v>
      </c>
      <c r="C467" t="s">
        <v>76</v>
      </c>
      <c r="D467" t="s">
        <v>56</v>
      </c>
      <c r="E467" t="s">
        <v>39</v>
      </c>
      <c r="F467" t="s">
        <v>40</v>
      </c>
      <c r="G467">
        <v>4</v>
      </c>
      <c r="H467" s="10">
        <f>_xlfn.XLOOKUP(E467,Table18[Product],Table18[Unit_Price])</f>
        <v>240</v>
      </c>
      <c r="I467" s="10">
        <f>_xlfn.XLOOKUP(E467,Table18[Product],Table18[Cost_Price])</f>
        <v>120</v>
      </c>
      <c r="J467" s="10">
        <v>15</v>
      </c>
      <c r="K467" s="10">
        <f t="shared" si="22"/>
        <v>945</v>
      </c>
      <c r="L467" s="10">
        <f t="shared" si="23"/>
        <v>465</v>
      </c>
      <c r="M467" t="s">
        <v>64</v>
      </c>
      <c r="N467" t="s">
        <v>50</v>
      </c>
      <c r="O467" t="s">
        <v>51</v>
      </c>
      <c r="P467">
        <v>3</v>
      </c>
    </row>
    <row r="468" spans="1:16" x14ac:dyDescent="0.25">
      <c r="A468" t="str">
        <f t="shared" si="21"/>
        <v>ORD0467</v>
      </c>
      <c r="B468" s="3">
        <v>46054</v>
      </c>
      <c r="C468" t="s">
        <v>91</v>
      </c>
      <c r="D468" t="s">
        <v>70</v>
      </c>
      <c r="E468" t="s">
        <v>21</v>
      </c>
      <c r="F468" t="s">
        <v>17</v>
      </c>
      <c r="G468">
        <v>3</v>
      </c>
      <c r="H468" s="10">
        <f>_xlfn.XLOOKUP(E468,Table18[Product],Table18[Unit_Price])</f>
        <v>220</v>
      </c>
      <c r="I468" s="10">
        <f>_xlfn.XLOOKUP(E468,Table18[Product],Table18[Cost_Price])</f>
        <v>110</v>
      </c>
      <c r="J468" s="10">
        <v>24</v>
      </c>
      <c r="K468" s="10">
        <f t="shared" si="22"/>
        <v>636</v>
      </c>
      <c r="L468" s="10">
        <f t="shared" si="23"/>
        <v>306</v>
      </c>
      <c r="M468" t="s">
        <v>53</v>
      </c>
      <c r="N468" t="s">
        <v>58</v>
      </c>
      <c r="O468" t="s">
        <v>65</v>
      </c>
      <c r="P468">
        <v>4</v>
      </c>
    </row>
    <row r="469" spans="1:16" x14ac:dyDescent="0.25">
      <c r="A469" t="str">
        <f t="shared" si="21"/>
        <v>ORD0468</v>
      </c>
      <c r="B469" s="3">
        <v>46032</v>
      </c>
      <c r="C469" t="s">
        <v>77</v>
      </c>
      <c r="D469" t="s">
        <v>72</v>
      </c>
      <c r="E469" t="s">
        <v>27</v>
      </c>
      <c r="F469" t="s">
        <v>28</v>
      </c>
      <c r="G469">
        <v>5</v>
      </c>
      <c r="H469" s="10">
        <f>_xlfn.XLOOKUP(E469,Table18[Product],Table18[Unit_Price])</f>
        <v>140</v>
      </c>
      <c r="I469" s="10">
        <f>_xlfn.XLOOKUP(E469,Table18[Product],Table18[Cost_Price])</f>
        <v>70</v>
      </c>
      <c r="J469" s="10">
        <v>49</v>
      </c>
      <c r="K469" s="10">
        <f t="shared" si="22"/>
        <v>651</v>
      </c>
      <c r="L469" s="10">
        <f t="shared" si="23"/>
        <v>301</v>
      </c>
      <c r="M469" t="s">
        <v>57</v>
      </c>
      <c r="N469" t="s">
        <v>54</v>
      </c>
      <c r="O469" t="s">
        <v>59</v>
      </c>
      <c r="P469">
        <v>5</v>
      </c>
    </row>
    <row r="470" spans="1:16" x14ac:dyDescent="0.25">
      <c r="A470" t="str">
        <f t="shared" si="21"/>
        <v>ORD0469</v>
      </c>
      <c r="B470" s="3">
        <v>46339</v>
      </c>
      <c r="C470" t="s">
        <v>88</v>
      </c>
      <c r="D470" t="s">
        <v>74</v>
      </c>
      <c r="E470" t="s">
        <v>38</v>
      </c>
      <c r="F470" t="s">
        <v>35</v>
      </c>
      <c r="G470">
        <v>4</v>
      </c>
      <c r="H470" s="10">
        <f>_xlfn.XLOOKUP(E470,Table18[Product],Table18[Unit_Price])</f>
        <v>170</v>
      </c>
      <c r="I470" s="10">
        <f>_xlfn.XLOOKUP(E470,Table18[Product],Table18[Cost_Price])</f>
        <v>85</v>
      </c>
      <c r="J470" s="10">
        <v>7</v>
      </c>
      <c r="K470" s="10">
        <f t="shared" si="22"/>
        <v>673</v>
      </c>
      <c r="L470" s="10">
        <f t="shared" si="23"/>
        <v>333</v>
      </c>
      <c r="M470" t="s">
        <v>53</v>
      </c>
      <c r="N470" t="s">
        <v>54</v>
      </c>
      <c r="O470" t="s">
        <v>75</v>
      </c>
      <c r="P470">
        <v>5</v>
      </c>
    </row>
    <row r="471" spans="1:16" x14ac:dyDescent="0.25">
      <c r="A471" t="str">
        <f t="shared" si="21"/>
        <v>ORD0470</v>
      </c>
      <c r="B471" s="3">
        <v>46109</v>
      </c>
      <c r="C471" t="s">
        <v>89</v>
      </c>
      <c r="D471" t="s">
        <v>52</v>
      </c>
      <c r="E471" t="s">
        <v>33</v>
      </c>
      <c r="F471" t="s">
        <v>31</v>
      </c>
      <c r="G471">
        <v>1</v>
      </c>
      <c r="H471" s="10">
        <f>_xlfn.XLOOKUP(E471,Table18[Product],Table18[Unit_Price])</f>
        <v>150</v>
      </c>
      <c r="I471" s="10">
        <f>_xlfn.XLOOKUP(E471,Table18[Product],Table18[Cost_Price])</f>
        <v>75</v>
      </c>
      <c r="J471" s="10">
        <v>38</v>
      </c>
      <c r="K471" s="10">
        <f t="shared" si="22"/>
        <v>112</v>
      </c>
      <c r="L471" s="10">
        <f t="shared" si="23"/>
        <v>37</v>
      </c>
      <c r="M471" t="s">
        <v>61</v>
      </c>
      <c r="N471" t="s">
        <v>50</v>
      </c>
      <c r="O471" t="s">
        <v>55</v>
      </c>
      <c r="P471">
        <v>4</v>
      </c>
    </row>
    <row r="472" spans="1:16" x14ac:dyDescent="0.25">
      <c r="A472" t="str">
        <f t="shared" si="21"/>
        <v>ORD0471</v>
      </c>
      <c r="B472" s="3">
        <v>46035</v>
      </c>
      <c r="C472" t="s">
        <v>93</v>
      </c>
      <c r="D472" t="s">
        <v>70</v>
      </c>
      <c r="E472" t="s">
        <v>36</v>
      </c>
      <c r="F472" t="s">
        <v>35</v>
      </c>
      <c r="G472">
        <v>1</v>
      </c>
      <c r="H472" s="10">
        <f>_xlfn.XLOOKUP(E472,Table18[Product],Table18[Unit_Price])</f>
        <v>220</v>
      </c>
      <c r="I472" s="10">
        <f>_xlfn.XLOOKUP(E472,Table18[Product],Table18[Cost_Price])</f>
        <v>110</v>
      </c>
      <c r="J472" s="10">
        <v>14</v>
      </c>
      <c r="K472" s="10">
        <f t="shared" si="22"/>
        <v>206</v>
      </c>
      <c r="L472" s="10">
        <f t="shared" si="23"/>
        <v>96</v>
      </c>
      <c r="M472" t="s">
        <v>57</v>
      </c>
      <c r="N472" t="s">
        <v>50</v>
      </c>
      <c r="O472" t="s">
        <v>73</v>
      </c>
      <c r="P472">
        <v>4</v>
      </c>
    </row>
    <row r="473" spans="1:16" x14ac:dyDescent="0.25">
      <c r="A473" t="str">
        <f t="shared" si="21"/>
        <v>ORD0472</v>
      </c>
      <c r="B473" s="3">
        <v>46319</v>
      </c>
      <c r="C473" t="s">
        <v>105</v>
      </c>
      <c r="D473" t="s">
        <v>52</v>
      </c>
      <c r="E473" t="s">
        <v>27</v>
      </c>
      <c r="F473" t="s">
        <v>28</v>
      </c>
      <c r="G473">
        <v>4</v>
      </c>
      <c r="H473" s="10">
        <f>_xlfn.XLOOKUP(E473,Table18[Product],Table18[Unit_Price])</f>
        <v>140</v>
      </c>
      <c r="I473" s="10">
        <f>_xlfn.XLOOKUP(E473,Table18[Product],Table18[Cost_Price])</f>
        <v>70</v>
      </c>
      <c r="J473" s="10">
        <v>50</v>
      </c>
      <c r="K473" s="10">
        <f t="shared" si="22"/>
        <v>510</v>
      </c>
      <c r="L473" s="10">
        <f t="shared" si="23"/>
        <v>230</v>
      </c>
      <c r="M473" t="s">
        <v>64</v>
      </c>
      <c r="N473" t="s">
        <v>54</v>
      </c>
      <c r="O473" t="s">
        <v>67</v>
      </c>
      <c r="P473">
        <v>4</v>
      </c>
    </row>
    <row r="474" spans="1:16" x14ac:dyDescent="0.25">
      <c r="A474" t="str">
        <f t="shared" si="21"/>
        <v>ORD0473</v>
      </c>
      <c r="B474" s="3">
        <v>46293</v>
      </c>
      <c r="C474" t="s">
        <v>100</v>
      </c>
      <c r="D474" t="s">
        <v>48</v>
      </c>
      <c r="E474" t="s">
        <v>29</v>
      </c>
      <c r="F474" t="s">
        <v>28</v>
      </c>
      <c r="G474">
        <v>2</v>
      </c>
      <c r="H474" s="10">
        <f>_xlfn.XLOOKUP(E474,Table18[Product],Table18[Unit_Price])</f>
        <v>120</v>
      </c>
      <c r="I474" s="10">
        <f>_xlfn.XLOOKUP(E474,Table18[Product],Table18[Cost_Price])</f>
        <v>60</v>
      </c>
      <c r="J474" s="10">
        <v>31</v>
      </c>
      <c r="K474" s="10">
        <f t="shared" si="22"/>
        <v>209</v>
      </c>
      <c r="L474" s="10">
        <f t="shared" si="23"/>
        <v>89</v>
      </c>
      <c r="M474" t="s">
        <v>49</v>
      </c>
      <c r="N474" t="s">
        <v>50</v>
      </c>
      <c r="O474" t="s">
        <v>67</v>
      </c>
      <c r="P474">
        <v>5</v>
      </c>
    </row>
    <row r="475" spans="1:16" x14ac:dyDescent="0.25">
      <c r="A475" t="str">
        <f t="shared" si="21"/>
        <v>ORD0474</v>
      </c>
      <c r="B475" s="3">
        <v>46024</v>
      </c>
      <c r="C475" t="s">
        <v>91</v>
      </c>
      <c r="D475" t="s">
        <v>56</v>
      </c>
      <c r="E475" t="s">
        <v>29</v>
      </c>
      <c r="F475" t="s">
        <v>28</v>
      </c>
      <c r="G475">
        <v>4</v>
      </c>
      <c r="H475" s="10">
        <f>_xlfn.XLOOKUP(E475,Table18[Product],Table18[Unit_Price])</f>
        <v>120</v>
      </c>
      <c r="I475" s="10">
        <f>_xlfn.XLOOKUP(E475,Table18[Product],Table18[Cost_Price])</f>
        <v>60</v>
      </c>
      <c r="J475" s="10">
        <v>0</v>
      </c>
      <c r="K475" s="10">
        <f t="shared" si="22"/>
        <v>480</v>
      </c>
      <c r="L475" s="10">
        <f t="shared" si="23"/>
        <v>240</v>
      </c>
      <c r="M475" t="s">
        <v>53</v>
      </c>
      <c r="N475" t="s">
        <v>50</v>
      </c>
      <c r="O475" t="s">
        <v>73</v>
      </c>
      <c r="P475">
        <v>3</v>
      </c>
    </row>
    <row r="476" spans="1:16" x14ac:dyDescent="0.25">
      <c r="A476" t="str">
        <f t="shared" si="21"/>
        <v>ORD0475</v>
      </c>
      <c r="B476" s="3">
        <v>46347</v>
      </c>
      <c r="C476" t="s">
        <v>76</v>
      </c>
      <c r="D476" t="s">
        <v>74</v>
      </c>
      <c r="E476" t="s">
        <v>16</v>
      </c>
      <c r="F476" t="s">
        <v>17</v>
      </c>
      <c r="G476">
        <v>1</v>
      </c>
      <c r="H476" s="10">
        <f>_xlfn.XLOOKUP(E476,Table18[Product],Table18[Unit_Price])</f>
        <v>120</v>
      </c>
      <c r="I476" s="10">
        <f>_xlfn.XLOOKUP(E476,Table18[Product],Table18[Cost_Price])</f>
        <v>60</v>
      </c>
      <c r="J476" s="10">
        <v>28</v>
      </c>
      <c r="K476" s="10">
        <f t="shared" si="22"/>
        <v>92</v>
      </c>
      <c r="L476" s="10">
        <f t="shared" si="23"/>
        <v>32</v>
      </c>
      <c r="M476" t="s">
        <v>49</v>
      </c>
      <c r="N476" t="s">
        <v>58</v>
      </c>
      <c r="O476" t="s">
        <v>75</v>
      </c>
      <c r="P476">
        <v>3</v>
      </c>
    </row>
    <row r="477" spans="1:16" x14ac:dyDescent="0.25">
      <c r="A477" t="str">
        <f t="shared" si="21"/>
        <v>ORD0476</v>
      </c>
      <c r="B477" s="3">
        <v>46143</v>
      </c>
      <c r="C477" t="s">
        <v>80</v>
      </c>
      <c r="D477" t="s">
        <v>72</v>
      </c>
      <c r="E477" t="s">
        <v>24</v>
      </c>
      <c r="F477" t="s">
        <v>23</v>
      </c>
      <c r="G477">
        <v>2</v>
      </c>
      <c r="H477" s="10">
        <f>_xlfn.XLOOKUP(E477,Table18[Product],Table18[Unit_Price])</f>
        <v>210</v>
      </c>
      <c r="I477" s="10">
        <f>_xlfn.XLOOKUP(E477,Table18[Product],Table18[Cost_Price])</f>
        <v>105</v>
      </c>
      <c r="J477" s="10">
        <v>22</v>
      </c>
      <c r="K477" s="10">
        <f t="shared" si="22"/>
        <v>398</v>
      </c>
      <c r="L477" s="10">
        <f t="shared" si="23"/>
        <v>188</v>
      </c>
      <c r="M477" t="s">
        <v>61</v>
      </c>
      <c r="N477" t="s">
        <v>58</v>
      </c>
      <c r="O477" t="s">
        <v>71</v>
      </c>
      <c r="P477">
        <v>4</v>
      </c>
    </row>
    <row r="478" spans="1:16" x14ac:dyDescent="0.25">
      <c r="A478" t="str">
        <f t="shared" si="21"/>
        <v>ORD0477</v>
      </c>
      <c r="B478" s="3">
        <v>46240</v>
      </c>
      <c r="C478" t="s">
        <v>89</v>
      </c>
      <c r="D478" t="s">
        <v>52</v>
      </c>
      <c r="E478" t="s">
        <v>33</v>
      </c>
      <c r="F478" t="s">
        <v>31</v>
      </c>
      <c r="G478">
        <v>1</v>
      </c>
      <c r="H478" s="10">
        <f>_xlfn.XLOOKUP(E478,Table18[Product],Table18[Unit_Price])</f>
        <v>150</v>
      </c>
      <c r="I478" s="10">
        <f>_xlfn.XLOOKUP(E478,Table18[Product],Table18[Cost_Price])</f>
        <v>75</v>
      </c>
      <c r="J478" s="10">
        <v>21</v>
      </c>
      <c r="K478" s="10">
        <f t="shared" si="22"/>
        <v>129</v>
      </c>
      <c r="L478" s="10">
        <f t="shared" si="23"/>
        <v>54</v>
      </c>
      <c r="M478" t="s">
        <v>57</v>
      </c>
      <c r="N478" t="s">
        <v>58</v>
      </c>
      <c r="O478" t="s">
        <v>51</v>
      </c>
      <c r="P478">
        <v>5</v>
      </c>
    </row>
    <row r="479" spans="1:16" x14ac:dyDescent="0.25">
      <c r="A479" t="str">
        <f t="shared" si="21"/>
        <v>ORD0478</v>
      </c>
      <c r="B479" s="3">
        <v>46241</v>
      </c>
      <c r="C479" t="s">
        <v>84</v>
      </c>
      <c r="D479" t="s">
        <v>63</v>
      </c>
      <c r="E479" t="s">
        <v>27</v>
      </c>
      <c r="F479" t="s">
        <v>28</v>
      </c>
      <c r="G479">
        <v>3</v>
      </c>
      <c r="H479" s="10">
        <f>_xlfn.XLOOKUP(E479,Table18[Product],Table18[Unit_Price])</f>
        <v>140</v>
      </c>
      <c r="I479" s="10">
        <f>_xlfn.XLOOKUP(E479,Table18[Product],Table18[Cost_Price])</f>
        <v>70</v>
      </c>
      <c r="J479" s="10">
        <v>15</v>
      </c>
      <c r="K479" s="10">
        <f t="shared" si="22"/>
        <v>405</v>
      </c>
      <c r="L479" s="10">
        <f t="shared" si="23"/>
        <v>195</v>
      </c>
      <c r="M479" t="s">
        <v>64</v>
      </c>
      <c r="N479" t="s">
        <v>54</v>
      </c>
      <c r="O479" t="s">
        <v>65</v>
      </c>
      <c r="P479">
        <v>3</v>
      </c>
    </row>
    <row r="480" spans="1:16" x14ac:dyDescent="0.25">
      <c r="A480" t="str">
        <f t="shared" si="21"/>
        <v>ORD0479</v>
      </c>
      <c r="B480" s="3">
        <v>46164</v>
      </c>
      <c r="C480" t="s">
        <v>94</v>
      </c>
      <c r="D480" t="s">
        <v>63</v>
      </c>
      <c r="E480" t="s">
        <v>24</v>
      </c>
      <c r="F480" t="s">
        <v>23</v>
      </c>
      <c r="G480">
        <v>1</v>
      </c>
      <c r="H480" s="10">
        <f>_xlfn.XLOOKUP(E480,Table18[Product],Table18[Unit_Price])</f>
        <v>210</v>
      </c>
      <c r="I480" s="10">
        <f>_xlfn.XLOOKUP(E480,Table18[Product],Table18[Cost_Price])</f>
        <v>105</v>
      </c>
      <c r="J480" s="10">
        <v>34</v>
      </c>
      <c r="K480" s="10">
        <f t="shared" si="22"/>
        <v>176</v>
      </c>
      <c r="L480" s="10">
        <f t="shared" si="23"/>
        <v>71</v>
      </c>
      <c r="M480" t="s">
        <v>64</v>
      </c>
      <c r="N480" t="s">
        <v>50</v>
      </c>
      <c r="O480" t="s">
        <v>71</v>
      </c>
      <c r="P480">
        <v>5</v>
      </c>
    </row>
    <row r="481" spans="1:16" x14ac:dyDescent="0.25">
      <c r="A481" t="str">
        <f t="shared" si="21"/>
        <v>ORD0480</v>
      </c>
      <c r="B481" s="3">
        <v>46120</v>
      </c>
      <c r="C481" t="s">
        <v>83</v>
      </c>
      <c r="D481" t="s">
        <v>60</v>
      </c>
      <c r="E481" t="s">
        <v>24</v>
      </c>
      <c r="F481" t="s">
        <v>23</v>
      </c>
      <c r="G481">
        <v>4</v>
      </c>
      <c r="H481" s="10">
        <f>_xlfn.XLOOKUP(E481,Table18[Product],Table18[Unit_Price])</f>
        <v>210</v>
      </c>
      <c r="I481" s="10">
        <f>_xlfn.XLOOKUP(E481,Table18[Product],Table18[Cost_Price])</f>
        <v>105</v>
      </c>
      <c r="J481" s="10">
        <v>41</v>
      </c>
      <c r="K481" s="10">
        <f t="shared" si="22"/>
        <v>799</v>
      </c>
      <c r="L481" s="10">
        <f t="shared" si="23"/>
        <v>379</v>
      </c>
      <c r="M481" t="s">
        <v>57</v>
      </c>
      <c r="N481" t="s">
        <v>58</v>
      </c>
      <c r="O481" t="s">
        <v>59</v>
      </c>
      <c r="P481">
        <v>3</v>
      </c>
    </row>
    <row r="482" spans="1:16" x14ac:dyDescent="0.25">
      <c r="A482" t="str">
        <f t="shared" si="21"/>
        <v>ORD0481</v>
      </c>
      <c r="B482" s="3">
        <v>46072</v>
      </c>
      <c r="C482" t="s">
        <v>95</v>
      </c>
      <c r="D482" t="s">
        <v>48</v>
      </c>
      <c r="E482" t="s">
        <v>38</v>
      </c>
      <c r="F482" t="s">
        <v>35</v>
      </c>
      <c r="G482">
        <v>4</v>
      </c>
      <c r="H482" s="10">
        <f>_xlfn.XLOOKUP(E482,Table18[Product],Table18[Unit_Price])</f>
        <v>170</v>
      </c>
      <c r="I482" s="10">
        <f>_xlfn.XLOOKUP(E482,Table18[Product],Table18[Cost_Price])</f>
        <v>85</v>
      </c>
      <c r="J482" s="10">
        <v>7</v>
      </c>
      <c r="K482" s="10">
        <f t="shared" si="22"/>
        <v>673</v>
      </c>
      <c r="L482" s="10">
        <f t="shared" si="23"/>
        <v>333</v>
      </c>
      <c r="M482" t="s">
        <v>57</v>
      </c>
      <c r="N482" t="s">
        <v>54</v>
      </c>
      <c r="O482" t="s">
        <v>69</v>
      </c>
      <c r="P482">
        <v>4</v>
      </c>
    </row>
    <row r="483" spans="1:16" x14ac:dyDescent="0.25">
      <c r="A483" t="str">
        <f t="shared" si="21"/>
        <v>ORD0482</v>
      </c>
      <c r="B483" s="3">
        <v>46255</v>
      </c>
      <c r="C483" t="s">
        <v>102</v>
      </c>
      <c r="D483" t="s">
        <v>74</v>
      </c>
      <c r="E483" t="s">
        <v>18</v>
      </c>
      <c r="F483" t="s">
        <v>17</v>
      </c>
      <c r="G483">
        <v>1</v>
      </c>
      <c r="H483" s="10">
        <f>_xlfn.XLOOKUP(E483,Table18[Product],Table18[Unit_Price])</f>
        <v>180</v>
      </c>
      <c r="I483" s="10">
        <f>_xlfn.XLOOKUP(E483,Table18[Product],Table18[Cost_Price])</f>
        <v>90</v>
      </c>
      <c r="J483" s="10">
        <v>13</v>
      </c>
      <c r="K483" s="10">
        <f t="shared" si="22"/>
        <v>167</v>
      </c>
      <c r="L483" s="10">
        <f t="shared" si="23"/>
        <v>77</v>
      </c>
      <c r="M483" t="s">
        <v>53</v>
      </c>
      <c r="N483" t="s">
        <v>58</v>
      </c>
      <c r="O483" t="s">
        <v>62</v>
      </c>
      <c r="P483">
        <v>3</v>
      </c>
    </row>
    <row r="484" spans="1:16" x14ac:dyDescent="0.25">
      <c r="A484" t="str">
        <f t="shared" si="21"/>
        <v>ORD0483</v>
      </c>
      <c r="B484" s="3">
        <v>46090</v>
      </c>
      <c r="C484" t="s">
        <v>99</v>
      </c>
      <c r="D484" t="s">
        <v>48</v>
      </c>
      <c r="E484" t="s">
        <v>21</v>
      </c>
      <c r="F484" t="s">
        <v>17</v>
      </c>
      <c r="G484">
        <v>3</v>
      </c>
      <c r="H484" s="10">
        <f>_xlfn.XLOOKUP(E484,Table18[Product],Table18[Unit_Price])</f>
        <v>220</v>
      </c>
      <c r="I484" s="10">
        <f>_xlfn.XLOOKUP(E484,Table18[Product],Table18[Cost_Price])</f>
        <v>110</v>
      </c>
      <c r="J484" s="10">
        <v>31</v>
      </c>
      <c r="K484" s="10">
        <f t="shared" si="22"/>
        <v>629</v>
      </c>
      <c r="L484" s="10">
        <f t="shared" si="23"/>
        <v>299</v>
      </c>
      <c r="M484" t="s">
        <v>57</v>
      </c>
      <c r="N484" t="s">
        <v>50</v>
      </c>
      <c r="O484" t="s">
        <v>67</v>
      </c>
      <c r="P484">
        <v>3</v>
      </c>
    </row>
    <row r="485" spans="1:16" x14ac:dyDescent="0.25">
      <c r="A485" t="str">
        <f t="shared" si="21"/>
        <v>ORD0484</v>
      </c>
      <c r="B485" s="3">
        <v>46151</v>
      </c>
      <c r="C485" t="s">
        <v>99</v>
      </c>
      <c r="D485" t="s">
        <v>52</v>
      </c>
      <c r="E485" t="s">
        <v>33</v>
      </c>
      <c r="F485" t="s">
        <v>31</v>
      </c>
      <c r="G485">
        <v>4</v>
      </c>
      <c r="H485" s="10">
        <f>_xlfn.XLOOKUP(E485,Table18[Product],Table18[Unit_Price])</f>
        <v>150</v>
      </c>
      <c r="I485" s="10">
        <f>_xlfn.XLOOKUP(E485,Table18[Product],Table18[Cost_Price])</f>
        <v>75</v>
      </c>
      <c r="J485" s="10">
        <v>9</v>
      </c>
      <c r="K485" s="10">
        <f t="shared" si="22"/>
        <v>591</v>
      </c>
      <c r="L485" s="10">
        <f t="shared" si="23"/>
        <v>291</v>
      </c>
      <c r="M485" t="s">
        <v>57</v>
      </c>
      <c r="N485" t="s">
        <v>58</v>
      </c>
      <c r="O485" t="s">
        <v>67</v>
      </c>
      <c r="P485">
        <v>4</v>
      </c>
    </row>
    <row r="486" spans="1:16" x14ac:dyDescent="0.25">
      <c r="A486" t="str">
        <f t="shared" si="21"/>
        <v>ORD0485</v>
      </c>
      <c r="B486" s="3">
        <v>46190</v>
      </c>
      <c r="C486" t="s">
        <v>81</v>
      </c>
      <c r="D486" t="s">
        <v>72</v>
      </c>
      <c r="E486" t="s">
        <v>19</v>
      </c>
      <c r="F486" t="s">
        <v>17</v>
      </c>
      <c r="G486">
        <v>1</v>
      </c>
      <c r="H486" s="10">
        <f>_xlfn.XLOOKUP(E486,Table18[Product],Table18[Unit_Price])</f>
        <v>200</v>
      </c>
      <c r="I486" s="10">
        <f>_xlfn.XLOOKUP(E486,Table18[Product],Table18[Cost_Price])</f>
        <v>100</v>
      </c>
      <c r="J486" s="10">
        <v>23</v>
      </c>
      <c r="K486" s="10">
        <f t="shared" si="22"/>
        <v>177</v>
      </c>
      <c r="L486" s="10">
        <f t="shared" si="23"/>
        <v>77</v>
      </c>
      <c r="M486" t="s">
        <v>61</v>
      </c>
      <c r="N486" t="s">
        <v>54</v>
      </c>
      <c r="O486" t="s">
        <v>65</v>
      </c>
      <c r="P486">
        <v>5</v>
      </c>
    </row>
    <row r="487" spans="1:16" x14ac:dyDescent="0.25">
      <c r="A487" t="str">
        <f t="shared" si="21"/>
        <v>ORD0486</v>
      </c>
      <c r="B487" s="3">
        <v>46026</v>
      </c>
      <c r="C487" t="s">
        <v>84</v>
      </c>
      <c r="D487" t="s">
        <v>68</v>
      </c>
      <c r="E487" t="s">
        <v>42</v>
      </c>
      <c r="F487" t="s">
        <v>40</v>
      </c>
      <c r="G487">
        <v>2</v>
      </c>
      <c r="H487" s="10">
        <f>_xlfn.XLOOKUP(E487,Table18[Product],Table18[Unit_Price])</f>
        <v>80</v>
      </c>
      <c r="I487" s="10">
        <f>_xlfn.XLOOKUP(E487,Table18[Product],Table18[Cost_Price])</f>
        <v>40</v>
      </c>
      <c r="J487" s="10">
        <v>20</v>
      </c>
      <c r="K487" s="10">
        <f t="shared" si="22"/>
        <v>140</v>
      </c>
      <c r="L487" s="10">
        <f t="shared" si="23"/>
        <v>60</v>
      </c>
      <c r="M487" t="s">
        <v>57</v>
      </c>
      <c r="N487" t="s">
        <v>58</v>
      </c>
      <c r="O487" t="s">
        <v>55</v>
      </c>
      <c r="P487">
        <v>4</v>
      </c>
    </row>
    <row r="488" spans="1:16" x14ac:dyDescent="0.25">
      <c r="A488" t="str">
        <f t="shared" si="21"/>
        <v>ORD0487</v>
      </c>
      <c r="B488" s="3">
        <v>46283</v>
      </c>
      <c r="C488" t="s">
        <v>101</v>
      </c>
      <c r="D488" t="s">
        <v>70</v>
      </c>
      <c r="E488" t="s">
        <v>22</v>
      </c>
      <c r="F488" t="s">
        <v>23</v>
      </c>
      <c r="G488">
        <v>5</v>
      </c>
      <c r="H488" s="10">
        <f>_xlfn.XLOOKUP(E488,Table18[Product],Table18[Unit_Price])</f>
        <v>190</v>
      </c>
      <c r="I488" s="10">
        <f>_xlfn.XLOOKUP(E488,Table18[Product],Table18[Cost_Price])</f>
        <v>95</v>
      </c>
      <c r="J488" s="10">
        <v>43</v>
      </c>
      <c r="K488" s="10">
        <f t="shared" si="22"/>
        <v>907</v>
      </c>
      <c r="L488" s="10">
        <f t="shared" si="23"/>
        <v>432</v>
      </c>
      <c r="M488" t="s">
        <v>53</v>
      </c>
      <c r="N488" t="s">
        <v>54</v>
      </c>
      <c r="O488" t="s">
        <v>67</v>
      </c>
      <c r="P488">
        <v>3</v>
      </c>
    </row>
    <row r="489" spans="1:16" x14ac:dyDescent="0.25">
      <c r="A489" t="str">
        <f t="shared" si="21"/>
        <v>ORD0488</v>
      </c>
      <c r="B489" s="3">
        <v>46170</v>
      </c>
      <c r="C489" t="s">
        <v>90</v>
      </c>
      <c r="D489" t="s">
        <v>52</v>
      </c>
      <c r="E489" t="s">
        <v>22</v>
      </c>
      <c r="F489" t="s">
        <v>23</v>
      </c>
      <c r="G489">
        <v>4</v>
      </c>
      <c r="H489" s="10">
        <f>_xlfn.XLOOKUP(E489,Table18[Product],Table18[Unit_Price])</f>
        <v>190</v>
      </c>
      <c r="I489" s="10">
        <f>_xlfn.XLOOKUP(E489,Table18[Product],Table18[Cost_Price])</f>
        <v>95</v>
      </c>
      <c r="J489" s="10">
        <v>31</v>
      </c>
      <c r="K489" s="10">
        <f t="shared" si="22"/>
        <v>729</v>
      </c>
      <c r="L489" s="10">
        <f t="shared" si="23"/>
        <v>349</v>
      </c>
      <c r="M489" t="s">
        <v>57</v>
      </c>
      <c r="N489" t="s">
        <v>54</v>
      </c>
      <c r="O489" t="s">
        <v>67</v>
      </c>
      <c r="P489">
        <v>5</v>
      </c>
    </row>
    <row r="490" spans="1:16" x14ac:dyDescent="0.25">
      <c r="A490" t="str">
        <f t="shared" si="21"/>
        <v>ORD0489</v>
      </c>
      <c r="B490" s="3">
        <v>46091</v>
      </c>
      <c r="C490" t="s">
        <v>80</v>
      </c>
      <c r="D490" t="s">
        <v>68</v>
      </c>
      <c r="E490" t="s">
        <v>36</v>
      </c>
      <c r="F490" t="s">
        <v>35</v>
      </c>
      <c r="G490">
        <v>4</v>
      </c>
      <c r="H490" s="10">
        <f>_xlfn.XLOOKUP(E490,Table18[Product],Table18[Unit_Price])</f>
        <v>220</v>
      </c>
      <c r="I490" s="10">
        <f>_xlfn.XLOOKUP(E490,Table18[Product],Table18[Cost_Price])</f>
        <v>110</v>
      </c>
      <c r="J490" s="10">
        <v>39</v>
      </c>
      <c r="K490" s="10">
        <f t="shared" si="22"/>
        <v>841</v>
      </c>
      <c r="L490" s="10">
        <f t="shared" si="23"/>
        <v>401</v>
      </c>
      <c r="M490" t="s">
        <v>64</v>
      </c>
      <c r="N490" t="s">
        <v>50</v>
      </c>
      <c r="O490" t="s">
        <v>51</v>
      </c>
      <c r="P490">
        <v>4</v>
      </c>
    </row>
    <row r="491" spans="1:16" x14ac:dyDescent="0.25">
      <c r="A491" t="str">
        <f t="shared" si="21"/>
        <v>ORD0490</v>
      </c>
      <c r="B491" s="3">
        <v>46096</v>
      </c>
      <c r="C491" t="s">
        <v>89</v>
      </c>
      <c r="D491" t="s">
        <v>70</v>
      </c>
      <c r="E491" t="s">
        <v>33</v>
      </c>
      <c r="F491" t="s">
        <v>31</v>
      </c>
      <c r="G491">
        <v>2</v>
      </c>
      <c r="H491" s="10">
        <f>_xlfn.XLOOKUP(E491,Table18[Product],Table18[Unit_Price])</f>
        <v>150</v>
      </c>
      <c r="I491" s="10">
        <f>_xlfn.XLOOKUP(E491,Table18[Product],Table18[Cost_Price])</f>
        <v>75</v>
      </c>
      <c r="J491" s="10">
        <v>29</v>
      </c>
      <c r="K491" s="10">
        <f t="shared" si="22"/>
        <v>271</v>
      </c>
      <c r="L491" s="10">
        <f t="shared" si="23"/>
        <v>121</v>
      </c>
      <c r="M491" t="s">
        <v>49</v>
      </c>
      <c r="N491" t="s">
        <v>54</v>
      </c>
      <c r="O491" t="s">
        <v>69</v>
      </c>
      <c r="P491">
        <v>4</v>
      </c>
    </row>
    <row r="492" spans="1:16" x14ac:dyDescent="0.25">
      <c r="A492" t="str">
        <f t="shared" si="21"/>
        <v>ORD0491</v>
      </c>
      <c r="B492" s="3">
        <v>46259</v>
      </c>
      <c r="C492" t="s">
        <v>84</v>
      </c>
      <c r="D492" t="s">
        <v>72</v>
      </c>
      <c r="E492" t="s">
        <v>19</v>
      </c>
      <c r="F492" t="s">
        <v>17</v>
      </c>
      <c r="G492">
        <v>4</v>
      </c>
      <c r="H492" s="10">
        <f>_xlfn.XLOOKUP(E492,Table18[Product],Table18[Unit_Price])</f>
        <v>200</v>
      </c>
      <c r="I492" s="10">
        <f>_xlfn.XLOOKUP(E492,Table18[Product],Table18[Cost_Price])</f>
        <v>100</v>
      </c>
      <c r="J492" s="10">
        <v>6</v>
      </c>
      <c r="K492" s="10">
        <f t="shared" si="22"/>
        <v>794</v>
      </c>
      <c r="L492" s="10">
        <f t="shared" si="23"/>
        <v>394</v>
      </c>
      <c r="M492" t="s">
        <v>53</v>
      </c>
      <c r="N492" t="s">
        <v>50</v>
      </c>
      <c r="O492" t="s">
        <v>65</v>
      </c>
      <c r="P492">
        <v>5</v>
      </c>
    </row>
    <row r="493" spans="1:16" x14ac:dyDescent="0.25">
      <c r="A493" t="str">
        <f t="shared" si="21"/>
        <v>ORD0492</v>
      </c>
      <c r="B493" s="3">
        <v>46269</v>
      </c>
      <c r="C493" t="s">
        <v>88</v>
      </c>
      <c r="D493" t="s">
        <v>63</v>
      </c>
      <c r="E493" t="s">
        <v>18</v>
      </c>
      <c r="F493" t="s">
        <v>17</v>
      </c>
      <c r="G493">
        <v>2</v>
      </c>
      <c r="H493" s="10">
        <f>_xlfn.XLOOKUP(E493,Table18[Product],Table18[Unit_Price])</f>
        <v>180</v>
      </c>
      <c r="I493" s="10">
        <f>_xlfn.XLOOKUP(E493,Table18[Product],Table18[Cost_Price])</f>
        <v>90</v>
      </c>
      <c r="J493" s="10">
        <v>35</v>
      </c>
      <c r="K493" s="10">
        <f t="shared" si="22"/>
        <v>325</v>
      </c>
      <c r="L493" s="10">
        <f t="shared" si="23"/>
        <v>145</v>
      </c>
      <c r="M493" t="s">
        <v>49</v>
      </c>
      <c r="N493" t="s">
        <v>54</v>
      </c>
      <c r="O493" t="s">
        <v>71</v>
      </c>
      <c r="P493">
        <v>4</v>
      </c>
    </row>
    <row r="494" spans="1:16" x14ac:dyDescent="0.25">
      <c r="A494" t="str">
        <f t="shared" si="21"/>
        <v>ORD0493</v>
      </c>
      <c r="B494" s="3">
        <v>46092</v>
      </c>
      <c r="C494" t="s">
        <v>102</v>
      </c>
      <c r="D494" t="s">
        <v>66</v>
      </c>
      <c r="E494" t="s">
        <v>36</v>
      </c>
      <c r="F494" t="s">
        <v>35</v>
      </c>
      <c r="G494">
        <v>2</v>
      </c>
      <c r="H494" s="10">
        <f>_xlfn.XLOOKUP(E494,Table18[Product],Table18[Unit_Price])</f>
        <v>220</v>
      </c>
      <c r="I494" s="10">
        <f>_xlfn.XLOOKUP(E494,Table18[Product],Table18[Cost_Price])</f>
        <v>110</v>
      </c>
      <c r="J494" s="10">
        <v>6</v>
      </c>
      <c r="K494" s="10">
        <f t="shared" si="22"/>
        <v>434</v>
      </c>
      <c r="L494" s="10">
        <f t="shared" si="23"/>
        <v>214</v>
      </c>
      <c r="M494" t="s">
        <v>49</v>
      </c>
      <c r="N494" t="s">
        <v>50</v>
      </c>
      <c r="O494" t="s">
        <v>59</v>
      </c>
      <c r="P494">
        <v>5</v>
      </c>
    </row>
    <row r="495" spans="1:16" x14ac:dyDescent="0.25">
      <c r="A495" t="str">
        <f t="shared" si="21"/>
        <v>ORD0494</v>
      </c>
      <c r="B495" s="3">
        <v>46374</v>
      </c>
      <c r="C495" t="s">
        <v>99</v>
      </c>
      <c r="D495" t="s">
        <v>66</v>
      </c>
      <c r="E495" t="s">
        <v>19</v>
      </c>
      <c r="F495" t="s">
        <v>17</v>
      </c>
      <c r="G495">
        <v>2</v>
      </c>
      <c r="H495" s="10">
        <f>_xlfn.XLOOKUP(E495,Table18[Product],Table18[Unit_Price])</f>
        <v>200</v>
      </c>
      <c r="I495" s="10">
        <f>_xlfn.XLOOKUP(E495,Table18[Product],Table18[Cost_Price])</f>
        <v>100</v>
      </c>
      <c r="J495" s="10">
        <v>24</v>
      </c>
      <c r="K495" s="10">
        <f t="shared" si="22"/>
        <v>376</v>
      </c>
      <c r="L495" s="10">
        <f t="shared" si="23"/>
        <v>176</v>
      </c>
      <c r="M495" t="s">
        <v>57</v>
      </c>
      <c r="N495" t="s">
        <v>50</v>
      </c>
      <c r="O495" t="s">
        <v>73</v>
      </c>
      <c r="P495">
        <v>4</v>
      </c>
    </row>
    <row r="496" spans="1:16" x14ac:dyDescent="0.25">
      <c r="A496" t="str">
        <f t="shared" si="21"/>
        <v>ORD0495</v>
      </c>
      <c r="B496" s="3">
        <v>46367</v>
      </c>
      <c r="C496" t="s">
        <v>97</v>
      </c>
      <c r="D496" t="s">
        <v>60</v>
      </c>
      <c r="E496" t="s">
        <v>38</v>
      </c>
      <c r="F496" t="s">
        <v>35</v>
      </c>
      <c r="G496">
        <v>1</v>
      </c>
      <c r="H496" s="10">
        <f>_xlfn.XLOOKUP(E496,Table18[Product],Table18[Unit_Price])</f>
        <v>170</v>
      </c>
      <c r="I496" s="10">
        <f>_xlfn.XLOOKUP(E496,Table18[Product],Table18[Cost_Price])</f>
        <v>85</v>
      </c>
      <c r="J496" s="10">
        <v>29</v>
      </c>
      <c r="K496" s="10">
        <f t="shared" si="22"/>
        <v>141</v>
      </c>
      <c r="L496" s="10">
        <f t="shared" si="23"/>
        <v>56</v>
      </c>
      <c r="M496" t="s">
        <v>49</v>
      </c>
      <c r="N496" t="s">
        <v>58</v>
      </c>
      <c r="O496" t="s">
        <v>73</v>
      </c>
      <c r="P496">
        <v>3</v>
      </c>
    </row>
    <row r="497" spans="1:16" x14ac:dyDescent="0.25">
      <c r="A497" t="str">
        <f t="shared" si="21"/>
        <v>ORD0496</v>
      </c>
      <c r="B497" s="3">
        <v>46074</v>
      </c>
      <c r="C497" t="s">
        <v>89</v>
      </c>
      <c r="D497" t="s">
        <v>63</v>
      </c>
      <c r="E497" t="s">
        <v>36</v>
      </c>
      <c r="F497" t="s">
        <v>35</v>
      </c>
      <c r="G497">
        <v>1</v>
      </c>
      <c r="H497" s="10">
        <f>_xlfn.XLOOKUP(E497,Table18[Product],Table18[Unit_Price])</f>
        <v>220</v>
      </c>
      <c r="I497" s="10">
        <f>_xlfn.XLOOKUP(E497,Table18[Product],Table18[Cost_Price])</f>
        <v>110</v>
      </c>
      <c r="J497" s="10">
        <v>49</v>
      </c>
      <c r="K497" s="10">
        <f t="shared" si="22"/>
        <v>171</v>
      </c>
      <c r="L497" s="10">
        <f t="shared" si="23"/>
        <v>61</v>
      </c>
      <c r="M497" t="s">
        <v>57</v>
      </c>
      <c r="N497" t="s">
        <v>58</v>
      </c>
      <c r="O497" t="s">
        <v>62</v>
      </c>
      <c r="P497">
        <v>5</v>
      </c>
    </row>
    <row r="498" spans="1:16" x14ac:dyDescent="0.25">
      <c r="A498" t="str">
        <f t="shared" si="21"/>
        <v>ORD0497</v>
      </c>
      <c r="B498" s="3">
        <v>46066</v>
      </c>
      <c r="C498" t="s">
        <v>102</v>
      </c>
      <c r="D498" t="s">
        <v>60</v>
      </c>
      <c r="E498" t="s">
        <v>27</v>
      </c>
      <c r="F498" t="s">
        <v>28</v>
      </c>
      <c r="G498">
        <v>5</v>
      </c>
      <c r="H498" s="10">
        <f>_xlfn.XLOOKUP(E498,Table18[Product],Table18[Unit_Price])</f>
        <v>140</v>
      </c>
      <c r="I498" s="10">
        <f>_xlfn.XLOOKUP(E498,Table18[Product],Table18[Cost_Price])</f>
        <v>70</v>
      </c>
      <c r="J498" s="10">
        <v>20</v>
      </c>
      <c r="K498" s="10">
        <f t="shared" si="22"/>
        <v>680</v>
      </c>
      <c r="L498" s="10">
        <f t="shared" si="23"/>
        <v>330</v>
      </c>
      <c r="M498" t="s">
        <v>53</v>
      </c>
      <c r="N498" t="s">
        <v>58</v>
      </c>
      <c r="O498" t="s">
        <v>51</v>
      </c>
      <c r="P498">
        <v>5</v>
      </c>
    </row>
    <row r="499" spans="1:16" x14ac:dyDescent="0.25">
      <c r="A499" t="str">
        <f t="shared" si="21"/>
        <v>ORD0498</v>
      </c>
      <c r="B499" s="3">
        <v>46252</v>
      </c>
      <c r="C499" t="s">
        <v>103</v>
      </c>
      <c r="D499" t="s">
        <v>63</v>
      </c>
      <c r="E499" t="s">
        <v>18</v>
      </c>
      <c r="F499" t="s">
        <v>17</v>
      </c>
      <c r="G499">
        <v>1</v>
      </c>
      <c r="H499" s="10">
        <f>_xlfn.XLOOKUP(E499,Table18[Product],Table18[Unit_Price])</f>
        <v>180</v>
      </c>
      <c r="I499" s="10">
        <f>_xlfn.XLOOKUP(E499,Table18[Product],Table18[Cost_Price])</f>
        <v>90</v>
      </c>
      <c r="J499" s="10">
        <v>36</v>
      </c>
      <c r="K499" s="10">
        <f t="shared" si="22"/>
        <v>144</v>
      </c>
      <c r="L499" s="10">
        <f t="shared" si="23"/>
        <v>54</v>
      </c>
      <c r="M499" t="s">
        <v>57</v>
      </c>
      <c r="N499" t="s">
        <v>54</v>
      </c>
      <c r="O499" t="s">
        <v>55</v>
      </c>
      <c r="P499">
        <v>3</v>
      </c>
    </row>
    <row r="500" spans="1:16" x14ac:dyDescent="0.25">
      <c r="A500" t="str">
        <f t="shared" si="21"/>
        <v>ORD0499</v>
      </c>
      <c r="B500" s="3">
        <v>46029</v>
      </c>
      <c r="C500" t="s">
        <v>99</v>
      </c>
      <c r="D500" t="s">
        <v>60</v>
      </c>
      <c r="E500" t="s">
        <v>18</v>
      </c>
      <c r="F500" t="s">
        <v>17</v>
      </c>
      <c r="G500">
        <v>2</v>
      </c>
      <c r="H500" s="10">
        <f>_xlfn.XLOOKUP(E500,Table18[Product],Table18[Unit_Price])</f>
        <v>180</v>
      </c>
      <c r="I500" s="10">
        <f>_xlfn.XLOOKUP(E500,Table18[Product],Table18[Cost_Price])</f>
        <v>90</v>
      </c>
      <c r="J500" s="10">
        <v>43</v>
      </c>
      <c r="K500" s="10">
        <f t="shared" si="22"/>
        <v>317</v>
      </c>
      <c r="L500" s="10">
        <f t="shared" si="23"/>
        <v>137</v>
      </c>
      <c r="M500" t="s">
        <v>49</v>
      </c>
      <c r="N500" t="s">
        <v>54</v>
      </c>
      <c r="O500" t="s">
        <v>55</v>
      </c>
      <c r="P500">
        <v>5</v>
      </c>
    </row>
    <row r="501" spans="1:16" x14ac:dyDescent="0.25">
      <c r="A501" t="str">
        <f t="shared" si="21"/>
        <v>ORD0500</v>
      </c>
      <c r="B501" s="3">
        <v>46363</v>
      </c>
      <c r="C501" t="s">
        <v>76</v>
      </c>
      <c r="D501" t="s">
        <v>68</v>
      </c>
      <c r="E501" t="s">
        <v>19</v>
      </c>
      <c r="F501" t="s">
        <v>17</v>
      </c>
      <c r="G501">
        <v>2</v>
      </c>
      <c r="H501" s="10">
        <f>_xlfn.XLOOKUP(E501,Table18[Product],Table18[Unit_Price])</f>
        <v>200</v>
      </c>
      <c r="I501" s="10">
        <f>_xlfn.XLOOKUP(E501,Table18[Product],Table18[Cost_Price])</f>
        <v>100</v>
      </c>
      <c r="J501" s="10">
        <v>28</v>
      </c>
      <c r="K501" s="10">
        <f t="shared" si="22"/>
        <v>372</v>
      </c>
      <c r="L501" s="10">
        <f t="shared" si="23"/>
        <v>172</v>
      </c>
      <c r="M501" t="s">
        <v>61</v>
      </c>
      <c r="N501" t="s">
        <v>58</v>
      </c>
      <c r="O501" t="s">
        <v>71</v>
      </c>
      <c r="P501">
        <v>5</v>
      </c>
    </row>
    <row r="502" spans="1:16" x14ac:dyDescent="0.25">
      <c r="A502" t="str">
        <f t="shared" si="21"/>
        <v>ORD0501</v>
      </c>
      <c r="B502" s="3">
        <v>46087</v>
      </c>
      <c r="C502" t="s">
        <v>80</v>
      </c>
      <c r="D502" t="s">
        <v>56</v>
      </c>
      <c r="E502" t="s">
        <v>25</v>
      </c>
      <c r="F502" t="s">
        <v>26</v>
      </c>
      <c r="G502">
        <v>2</v>
      </c>
      <c r="H502" s="10">
        <f>_xlfn.XLOOKUP(E502,Table18[Product],Table18[Unit_Price])</f>
        <v>170</v>
      </c>
      <c r="I502" s="10">
        <f>_xlfn.XLOOKUP(E502,Table18[Product],Table18[Cost_Price])</f>
        <v>85</v>
      </c>
      <c r="J502" s="10">
        <v>17</v>
      </c>
      <c r="K502" s="10">
        <f t="shared" si="22"/>
        <v>323</v>
      </c>
      <c r="L502" s="10">
        <f t="shared" si="23"/>
        <v>153</v>
      </c>
      <c r="M502" t="s">
        <v>57</v>
      </c>
      <c r="N502" t="s">
        <v>50</v>
      </c>
      <c r="O502" t="s">
        <v>75</v>
      </c>
      <c r="P502">
        <v>5</v>
      </c>
    </row>
    <row r="503" spans="1:16" x14ac:dyDescent="0.25">
      <c r="A503" t="str">
        <f t="shared" si="21"/>
        <v>ORD0502</v>
      </c>
      <c r="B503" s="3">
        <v>46192</v>
      </c>
      <c r="C503" t="s">
        <v>81</v>
      </c>
      <c r="D503" t="s">
        <v>66</v>
      </c>
      <c r="E503" t="s">
        <v>19</v>
      </c>
      <c r="F503" t="s">
        <v>17</v>
      </c>
      <c r="G503">
        <v>2</v>
      </c>
      <c r="H503" s="10">
        <f>_xlfn.XLOOKUP(E503,Table18[Product],Table18[Unit_Price])</f>
        <v>200</v>
      </c>
      <c r="I503" s="10">
        <f>_xlfn.XLOOKUP(E503,Table18[Product],Table18[Cost_Price])</f>
        <v>100</v>
      </c>
      <c r="J503" s="10">
        <v>39</v>
      </c>
      <c r="K503" s="10">
        <f t="shared" si="22"/>
        <v>361</v>
      </c>
      <c r="L503" s="10">
        <f t="shared" si="23"/>
        <v>161</v>
      </c>
      <c r="M503" t="s">
        <v>64</v>
      </c>
      <c r="N503" t="s">
        <v>58</v>
      </c>
      <c r="O503" t="s">
        <v>51</v>
      </c>
      <c r="P503">
        <v>3</v>
      </c>
    </row>
    <row r="504" spans="1:16" x14ac:dyDescent="0.25">
      <c r="A504" t="str">
        <f t="shared" si="21"/>
        <v>ORD0503</v>
      </c>
      <c r="B504" s="3">
        <v>46083</v>
      </c>
      <c r="C504" t="s">
        <v>92</v>
      </c>
      <c r="D504" t="s">
        <v>56</v>
      </c>
      <c r="E504" t="s">
        <v>25</v>
      </c>
      <c r="F504" t="s">
        <v>26</v>
      </c>
      <c r="G504">
        <v>5</v>
      </c>
      <c r="H504" s="10">
        <f>_xlfn.XLOOKUP(E504,Table18[Product],Table18[Unit_Price])</f>
        <v>170</v>
      </c>
      <c r="I504" s="10">
        <f>_xlfn.XLOOKUP(E504,Table18[Product],Table18[Cost_Price])</f>
        <v>85</v>
      </c>
      <c r="J504" s="10">
        <v>36</v>
      </c>
      <c r="K504" s="10">
        <f t="shared" si="22"/>
        <v>814</v>
      </c>
      <c r="L504" s="10">
        <f t="shared" si="23"/>
        <v>389</v>
      </c>
      <c r="M504" t="s">
        <v>53</v>
      </c>
      <c r="N504" t="s">
        <v>50</v>
      </c>
      <c r="O504" t="s">
        <v>51</v>
      </c>
      <c r="P504">
        <v>5</v>
      </c>
    </row>
    <row r="505" spans="1:16" x14ac:dyDescent="0.25">
      <c r="A505" t="str">
        <f t="shared" si="21"/>
        <v>ORD0504</v>
      </c>
      <c r="B505" s="3">
        <v>46101</v>
      </c>
      <c r="C505" t="s">
        <v>94</v>
      </c>
      <c r="D505" t="s">
        <v>52</v>
      </c>
      <c r="E505" t="s">
        <v>32</v>
      </c>
      <c r="F505" t="s">
        <v>31</v>
      </c>
      <c r="G505">
        <v>1</v>
      </c>
      <c r="H505" s="10">
        <f>_xlfn.XLOOKUP(E505,Table18[Product],Table18[Unit_Price])</f>
        <v>130</v>
      </c>
      <c r="I505" s="10">
        <f>_xlfn.XLOOKUP(E505,Table18[Product],Table18[Cost_Price])</f>
        <v>65</v>
      </c>
      <c r="J505" s="10">
        <v>48</v>
      </c>
      <c r="K505" s="10">
        <f t="shared" si="22"/>
        <v>82</v>
      </c>
      <c r="L505" s="10">
        <f t="shared" si="23"/>
        <v>17</v>
      </c>
      <c r="M505" t="s">
        <v>61</v>
      </c>
      <c r="N505" t="s">
        <v>54</v>
      </c>
      <c r="O505" t="s">
        <v>75</v>
      </c>
      <c r="P505">
        <v>5</v>
      </c>
    </row>
    <row r="506" spans="1:16" x14ac:dyDescent="0.25">
      <c r="A506" t="str">
        <f t="shared" si="21"/>
        <v>ORD0505</v>
      </c>
      <c r="B506" s="3">
        <v>46087</v>
      </c>
      <c r="C506" t="s">
        <v>78</v>
      </c>
      <c r="D506" t="s">
        <v>48</v>
      </c>
      <c r="E506" t="s">
        <v>24</v>
      </c>
      <c r="F506" t="s">
        <v>23</v>
      </c>
      <c r="G506">
        <v>2</v>
      </c>
      <c r="H506" s="10">
        <f>_xlfn.XLOOKUP(E506,Table18[Product],Table18[Unit_Price])</f>
        <v>210</v>
      </c>
      <c r="I506" s="10">
        <f>_xlfn.XLOOKUP(E506,Table18[Product],Table18[Cost_Price])</f>
        <v>105</v>
      </c>
      <c r="J506" s="10">
        <v>47</v>
      </c>
      <c r="K506" s="10">
        <f t="shared" si="22"/>
        <v>373</v>
      </c>
      <c r="L506" s="10">
        <f t="shared" si="23"/>
        <v>163</v>
      </c>
      <c r="M506" t="s">
        <v>53</v>
      </c>
      <c r="N506" t="s">
        <v>54</v>
      </c>
      <c r="O506" t="s">
        <v>51</v>
      </c>
      <c r="P506">
        <v>4</v>
      </c>
    </row>
    <row r="507" spans="1:16" x14ac:dyDescent="0.25">
      <c r="A507" t="str">
        <f t="shared" si="21"/>
        <v>ORD0506</v>
      </c>
      <c r="B507" s="3">
        <v>46361</v>
      </c>
      <c r="C507" t="s">
        <v>96</v>
      </c>
      <c r="D507" t="s">
        <v>60</v>
      </c>
      <c r="E507" t="s">
        <v>39</v>
      </c>
      <c r="F507" t="s">
        <v>40</v>
      </c>
      <c r="G507">
        <v>5</v>
      </c>
      <c r="H507" s="10">
        <f>_xlfn.XLOOKUP(E507,Table18[Product],Table18[Unit_Price])</f>
        <v>240</v>
      </c>
      <c r="I507" s="10">
        <f>_xlfn.XLOOKUP(E507,Table18[Product],Table18[Cost_Price])</f>
        <v>120</v>
      </c>
      <c r="J507" s="10">
        <v>45</v>
      </c>
      <c r="K507" s="10">
        <f t="shared" si="22"/>
        <v>1155</v>
      </c>
      <c r="L507" s="10">
        <f t="shared" si="23"/>
        <v>555</v>
      </c>
      <c r="M507" t="s">
        <v>53</v>
      </c>
      <c r="N507" t="s">
        <v>54</v>
      </c>
      <c r="O507" t="s">
        <v>75</v>
      </c>
      <c r="P507">
        <v>4</v>
      </c>
    </row>
    <row r="508" spans="1:16" x14ac:dyDescent="0.25">
      <c r="A508" t="str">
        <f t="shared" si="21"/>
        <v>ORD0507</v>
      </c>
      <c r="B508" s="3">
        <v>46204</v>
      </c>
      <c r="C508" t="s">
        <v>105</v>
      </c>
      <c r="D508" t="s">
        <v>52</v>
      </c>
      <c r="E508" t="s">
        <v>42</v>
      </c>
      <c r="F508" t="s">
        <v>40</v>
      </c>
      <c r="G508">
        <v>4</v>
      </c>
      <c r="H508" s="10">
        <f>_xlfn.XLOOKUP(E508,Table18[Product],Table18[Unit_Price])</f>
        <v>80</v>
      </c>
      <c r="I508" s="10">
        <f>_xlfn.XLOOKUP(E508,Table18[Product],Table18[Cost_Price])</f>
        <v>40</v>
      </c>
      <c r="J508" s="10">
        <v>9</v>
      </c>
      <c r="K508" s="10">
        <f t="shared" si="22"/>
        <v>311</v>
      </c>
      <c r="L508" s="10">
        <f t="shared" si="23"/>
        <v>151</v>
      </c>
      <c r="M508" t="s">
        <v>64</v>
      </c>
      <c r="N508" t="s">
        <v>50</v>
      </c>
      <c r="O508" t="s">
        <v>73</v>
      </c>
      <c r="P508">
        <v>5</v>
      </c>
    </row>
    <row r="509" spans="1:16" x14ac:dyDescent="0.25">
      <c r="A509" t="str">
        <f t="shared" si="21"/>
        <v>ORD0508</v>
      </c>
      <c r="B509" s="3">
        <v>46056</v>
      </c>
      <c r="C509" t="s">
        <v>77</v>
      </c>
      <c r="D509" t="s">
        <v>63</v>
      </c>
      <c r="E509" t="s">
        <v>19</v>
      </c>
      <c r="F509" t="s">
        <v>17</v>
      </c>
      <c r="G509">
        <v>5</v>
      </c>
      <c r="H509" s="10">
        <f>_xlfn.XLOOKUP(E509,Table18[Product],Table18[Unit_Price])</f>
        <v>200</v>
      </c>
      <c r="I509" s="10">
        <f>_xlfn.XLOOKUP(E509,Table18[Product],Table18[Cost_Price])</f>
        <v>100</v>
      </c>
      <c r="J509" s="10">
        <v>9</v>
      </c>
      <c r="K509" s="10">
        <f t="shared" si="22"/>
        <v>991</v>
      </c>
      <c r="L509" s="10">
        <f t="shared" si="23"/>
        <v>491</v>
      </c>
      <c r="M509" t="s">
        <v>53</v>
      </c>
      <c r="N509" t="s">
        <v>50</v>
      </c>
      <c r="O509" t="s">
        <v>73</v>
      </c>
      <c r="P509">
        <v>3</v>
      </c>
    </row>
    <row r="510" spans="1:16" x14ac:dyDescent="0.25">
      <c r="A510" t="str">
        <f t="shared" si="21"/>
        <v>ORD0509</v>
      </c>
      <c r="B510" s="3">
        <v>46115</v>
      </c>
      <c r="C510" t="s">
        <v>80</v>
      </c>
      <c r="D510" t="s">
        <v>56</v>
      </c>
      <c r="E510" t="s">
        <v>38</v>
      </c>
      <c r="F510" t="s">
        <v>35</v>
      </c>
      <c r="G510">
        <v>4</v>
      </c>
      <c r="H510" s="10">
        <f>_xlfn.XLOOKUP(E510,Table18[Product],Table18[Unit_Price])</f>
        <v>170</v>
      </c>
      <c r="I510" s="10">
        <f>_xlfn.XLOOKUP(E510,Table18[Product],Table18[Cost_Price])</f>
        <v>85</v>
      </c>
      <c r="J510" s="10">
        <v>38</v>
      </c>
      <c r="K510" s="10">
        <f t="shared" si="22"/>
        <v>642</v>
      </c>
      <c r="L510" s="10">
        <f t="shared" si="23"/>
        <v>302</v>
      </c>
      <c r="M510" t="s">
        <v>61</v>
      </c>
      <c r="N510" t="s">
        <v>58</v>
      </c>
      <c r="O510" t="s">
        <v>59</v>
      </c>
      <c r="P510">
        <v>4</v>
      </c>
    </row>
    <row r="511" spans="1:16" x14ac:dyDescent="0.25">
      <c r="A511" t="str">
        <f t="shared" si="21"/>
        <v>ORD0510</v>
      </c>
      <c r="B511" s="3">
        <v>46368</v>
      </c>
      <c r="C511" t="s">
        <v>102</v>
      </c>
      <c r="D511" t="s">
        <v>70</v>
      </c>
      <c r="E511" t="s">
        <v>39</v>
      </c>
      <c r="F511" t="s">
        <v>40</v>
      </c>
      <c r="G511">
        <v>1</v>
      </c>
      <c r="H511" s="10">
        <f>_xlfn.XLOOKUP(E511,Table18[Product],Table18[Unit_Price])</f>
        <v>240</v>
      </c>
      <c r="I511" s="10">
        <f>_xlfn.XLOOKUP(E511,Table18[Product],Table18[Cost_Price])</f>
        <v>120</v>
      </c>
      <c r="J511" s="10">
        <v>36</v>
      </c>
      <c r="K511" s="10">
        <f t="shared" si="22"/>
        <v>204</v>
      </c>
      <c r="L511" s="10">
        <f t="shared" si="23"/>
        <v>84</v>
      </c>
      <c r="M511" t="s">
        <v>57</v>
      </c>
      <c r="N511" t="s">
        <v>54</v>
      </c>
      <c r="O511" t="s">
        <v>69</v>
      </c>
      <c r="P511">
        <v>4</v>
      </c>
    </row>
    <row r="512" spans="1:16" x14ac:dyDescent="0.25">
      <c r="A512" t="str">
        <f t="shared" si="21"/>
        <v>ORD0511</v>
      </c>
      <c r="B512" s="3">
        <v>46197</v>
      </c>
      <c r="C512" t="s">
        <v>92</v>
      </c>
      <c r="D512" t="s">
        <v>52</v>
      </c>
      <c r="E512" t="s">
        <v>37</v>
      </c>
      <c r="F512" t="s">
        <v>35</v>
      </c>
      <c r="G512">
        <v>3</v>
      </c>
      <c r="H512" s="10">
        <f>_xlfn.XLOOKUP(E512,Table18[Product],Table18[Unit_Price])</f>
        <v>160</v>
      </c>
      <c r="I512" s="10">
        <f>_xlfn.XLOOKUP(E512,Table18[Product],Table18[Cost_Price])</f>
        <v>80</v>
      </c>
      <c r="J512" s="10">
        <v>4</v>
      </c>
      <c r="K512" s="10">
        <f t="shared" si="22"/>
        <v>476</v>
      </c>
      <c r="L512" s="10">
        <f t="shared" si="23"/>
        <v>236</v>
      </c>
      <c r="M512" t="s">
        <v>53</v>
      </c>
      <c r="N512" t="s">
        <v>54</v>
      </c>
      <c r="O512" t="s">
        <v>71</v>
      </c>
      <c r="P512">
        <v>4</v>
      </c>
    </row>
    <row r="513" spans="1:16" x14ac:dyDescent="0.25">
      <c r="A513" t="str">
        <f t="shared" si="21"/>
        <v>ORD0512</v>
      </c>
      <c r="B513" s="3">
        <v>46132</v>
      </c>
      <c r="C513" t="s">
        <v>97</v>
      </c>
      <c r="D513" t="s">
        <v>56</v>
      </c>
      <c r="E513" t="s">
        <v>37</v>
      </c>
      <c r="F513" t="s">
        <v>35</v>
      </c>
      <c r="G513">
        <v>3</v>
      </c>
      <c r="H513" s="10">
        <f>_xlfn.XLOOKUP(E513,Table18[Product],Table18[Unit_Price])</f>
        <v>160</v>
      </c>
      <c r="I513" s="10">
        <f>_xlfn.XLOOKUP(E513,Table18[Product],Table18[Cost_Price])</f>
        <v>80</v>
      </c>
      <c r="J513" s="10">
        <v>45</v>
      </c>
      <c r="K513" s="10">
        <f t="shared" si="22"/>
        <v>435</v>
      </c>
      <c r="L513" s="10">
        <f t="shared" si="23"/>
        <v>195</v>
      </c>
      <c r="M513" t="s">
        <v>53</v>
      </c>
      <c r="N513" t="s">
        <v>50</v>
      </c>
      <c r="O513" t="s">
        <v>51</v>
      </c>
      <c r="P513">
        <v>5</v>
      </c>
    </row>
    <row r="514" spans="1:16" x14ac:dyDescent="0.25">
      <c r="A514" t="str">
        <f t="shared" si="21"/>
        <v>ORD0513</v>
      </c>
      <c r="B514" s="3">
        <v>46090</v>
      </c>
      <c r="C514" t="s">
        <v>105</v>
      </c>
      <c r="D514" t="s">
        <v>72</v>
      </c>
      <c r="E514" t="s">
        <v>19</v>
      </c>
      <c r="F514" t="s">
        <v>17</v>
      </c>
      <c r="G514">
        <v>2</v>
      </c>
      <c r="H514" s="10">
        <f>_xlfn.XLOOKUP(E514,Table18[Product],Table18[Unit_Price])</f>
        <v>200</v>
      </c>
      <c r="I514" s="10">
        <f>_xlfn.XLOOKUP(E514,Table18[Product],Table18[Cost_Price])</f>
        <v>100</v>
      </c>
      <c r="J514" s="10">
        <v>42</v>
      </c>
      <c r="K514" s="10">
        <f t="shared" si="22"/>
        <v>358</v>
      </c>
      <c r="L514" s="10">
        <f t="shared" si="23"/>
        <v>158</v>
      </c>
      <c r="M514" t="s">
        <v>61</v>
      </c>
      <c r="N514" t="s">
        <v>54</v>
      </c>
      <c r="O514" t="s">
        <v>62</v>
      </c>
      <c r="P514">
        <v>5</v>
      </c>
    </row>
    <row r="515" spans="1:16" x14ac:dyDescent="0.25">
      <c r="A515" t="str">
        <f t="shared" ref="A515:A578" si="24">"ORD"&amp;TEXT(ROW()-1,"0000")</f>
        <v>ORD0514</v>
      </c>
      <c r="B515" s="3">
        <v>46162</v>
      </c>
      <c r="C515" t="s">
        <v>84</v>
      </c>
      <c r="D515" t="s">
        <v>74</v>
      </c>
      <c r="E515" t="s">
        <v>18</v>
      </c>
      <c r="F515" t="s">
        <v>17</v>
      </c>
      <c r="G515">
        <v>2</v>
      </c>
      <c r="H515" s="10">
        <f>_xlfn.XLOOKUP(E515,Table18[Product],Table18[Unit_Price])</f>
        <v>180</v>
      </c>
      <c r="I515" s="10">
        <f>_xlfn.XLOOKUP(E515,Table18[Product],Table18[Cost_Price])</f>
        <v>90</v>
      </c>
      <c r="J515" s="10">
        <v>34</v>
      </c>
      <c r="K515" s="10">
        <f t="shared" ref="K515:K578" si="25">(G515*H515)-J515</f>
        <v>326</v>
      </c>
      <c r="L515" s="10">
        <f t="shared" ref="L515:L578" si="26">K515-(G515*I515)</f>
        <v>146</v>
      </c>
      <c r="M515" t="s">
        <v>64</v>
      </c>
      <c r="N515" t="s">
        <v>50</v>
      </c>
      <c r="O515" t="s">
        <v>67</v>
      </c>
      <c r="P515">
        <v>3</v>
      </c>
    </row>
    <row r="516" spans="1:16" x14ac:dyDescent="0.25">
      <c r="A516" t="str">
        <f t="shared" si="24"/>
        <v>ORD0515</v>
      </c>
      <c r="B516" s="3">
        <v>46368</v>
      </c>
      <c r="C516" t="s">
        <v>83</v>
      </c>
      <c r="D516" t="s">
        <v>74</v>
      </c>
      <c r="E516" t="s">
        <v>25</v>
      </c>
      <c r="F516" t="s">
        <v>26</v>
      </c>
      <c r="G516">
        <v>5</v>
      </c>
      <c r="H516" s="10">
        <f>_xlfn.XLOOKUP(E516,Table18[Product],Table18[Unit_Price])</f>
        <v>170</v>
      </c>
      <c r="I516" s="10">
        <f>_xlfn.XLOOKUP(E516,Table18[Product],Table18[Cost_Price])</f>
        <v>85</v>
      </c>
      <c r="J516" s="10">
        <v>3</v>
      </c>
      <c r="K516" s="10">
        <f t="shared" si="25"/>
        <v>847</v>
      </c>
      <c r="L516" s="10">
        <f t="shared" si="26"/>
        <v>422</v>
      </c>
      <c r="M516" t="s">
        <v>57</v>
      </c>
      <c r="N516" t="s">
        <v>54</v>
      </c>
      <c r="O516" t="s">
        <v>75</v>
      </c>
      <c r="P516">
        <v>4</v>
      </c>
    </row>
    <row r="517" spans="1:16" x14ac:dyDescent="0.25">
      <c r="A517" t="str">
        <f t="shared" si="24"/>
        <v>ORD0516</v>
      </c>
      <c r="B517" s="3">
        <v>46140</v>
      </c>
      <c r="C517" t="s">
        <v>87</v>
      </c>
      <c r="D517" t="s">
        <v>56</v>
      </c>
      <c r="E517" t="s">
        <v>42</v>
      </c>
      <c r="F517" t="s">
        <v>40</v>
      </c>
      <c r="G517">
        <v>3</v>
      </c>
      <c r="H517" s="10">
        <f>_xlfn.XLOOKUP(E517,Table18[Product],Table18[Unit_Price])</f>
        <v>80</v>
      </c>
      <c r="I517" s="10">
        <f>_xlfn.XLOOKUP(E517,Table18[Product],Table18[Cost_Price])</f>
        <v>40</v>
      </c>
      <c r="J517" s="10">
        <v>6</v>
      </c>
      <c r="K517" s="10">
        <f t="shared" si="25"/>
        <v>234</v>
      </c>
      <c r="L517" s="10">
        <f t="shared" si="26"/>
        <v>114</v>
      </c>
      <c r="M517" t="s">
        <v>49</v>
      </c>
      <c r="N517" t="s">
        <v>54</v>
      </c>
      <c r="O517" t="s">
        <v>75</v>
      </c>
      <c r="P517">
        <v>4</v>
      </c>
    </row>
    <row r="518" spans="1:16" x14ac:dyDescent="0.25">
      <c r="A518" t="str">
        <f t="shared" si="24"/>
        <v>ORD0517</v>
      </c>
      <c r="B518" s="3">
        <v>46276</v>
      </c>
      <c r="C518" t="s">
        <v>98</v>
      </c>
      <c r="D518" t="s">
        <v>72</v>
      </c>
      <c r="E518" t="s">
        <v>20</v>
      </c>
      <c r="F518" t="s">
        <v>17</v>
      </c>
      <c r="G518">
        <v>2</v>
      </c>
      <c r="H518" s="10">
        <f>_xlfn.XLOOKUP(E518,Table18[Product],Table18[Unit_Price])</f>
        <v>150</v>
      </c>
      <c r="I518" s="10">
        <f>_xlfn.XLOOKUP(E518,Table18[Product],Table18[Cost_Price])</f>
        <v>75</v>
      </c>
      <c r="J518" s="10">
        <v>28</v>
      </c>
      <c r="K518" s="10">
        <f t="shared" si="25"/>
        <v>272</v>
      </c>
      <c r="L518" s="10">
        <f t="shared" si="26"/>
        <v>122</v>
      </c>
      <c r="M518" t="s">
        <v>64</v>
      </c>
      <c r="N518" t="s">
        <v>58</v>
      </c>
      <c r="O518" t="s">
        <v>71</v>
      </c>
      <c r="P518">
        <v>5</v>
      </c>
    </row>
    <row r="519" spans="1:16" x14ac:dyDescent="0.25">
      <c r="A519" t="str">
        <f t="shared" si="24"/>
        <v>ORD0518</v>
      </c>
      <c r="B519" s="3">
        <v>46249</v>
      </c>
      <c r="C519" t="s">
        <v>95</v>
      </c>
      <c r="D519" t="s">
        <v>72</v>
      </c>
      <c r="E519" t="s">
        <v>22</v>
      </c>
      <c r="F519" t="s">
        <v>23</v>
      </c>
      <c r="G519">
        <v>4</v>
      </c>
      <c r="H519" s="10">
        <f>_xlfn.XLOOKUP(E519,Table18[Product],Table18[Unit_Price])</f>
        <v>190</v>
      </c>
      <c r="I519" s="10">
        <f>_xlfn.XLOOKUP(E519,Table18[Product],Table18[Cost_Price])</f>
        <v>95</v>
      </c>
      <c r="J519" s="10">
        <v>43</v>
      </c>
      <c r="K519" s="10">
        <f t="shared" si="25"/>
        <v>717</v>
      </c>
      <c r="L519" s="10">
        <f t="shared" si="26"/>
        <v>337</v>
      </c>
      <c r="M519" t="s">
        <v>57</v>
      </c>
      <c r="N519" t="s">
        <v>50</v>
      </c>
      <c r="O519" t="s">
        <v>51</v>
      </c>
      <c r="P519">
        <v>4</v>
      </c>
    </row>
    <row r="520" spans="1:16" x14ac:dyDescent="0.25">
      <c r="A520" t="str">
        <f t="shared" si="24"/>
        <v>ORD0519</v>
      </c>
      <c r="B520" s="3">
        <v>46384</v>
      </c>
      <c r="C520" t="s">
        <v>86</v>
      </c>
      <c r="D520" t="s">
        <v>52</v>
      </c>
      <c r="E520" t="s">
        <v>24</v>
      </c>
      <c r="F520" t="s">
        <v>23</v>
      </c>
      <c r="G520">
        <v>1</v>
      </c>
      <c r="H520" s="10">
        <f>_xlfn.XLOOKUP(E520,Table18[Product],Table18[Unit_Price])</f>
        <v>210</v>
      </c>
      <c r="I520" s="10">
        <f>_xlfn.XLOOKUP(E520,Table18[Product],Table18[Cost_Price])</f>
        <v>105</v>
      </c>
      <c r="J520" s="10">
        <v>21</v>
      </c>
      <c r="K520" s="10">
        <f t="shared" si="25"/>
        <v>189</v>
      </c>
      <c r="L520" s="10">
        <f t="shared" si="26"/>
        <v>84</v>
      </c>
      <c r="M520" t="s">
        <v>61</v>
      </c>
      <c r="N520" t="s">
        <v>50</v>
      </c>
      <c r="O520" t="s">
        <v>59</v>
      </c>
      <c r="P520">
        <v>4</v>
      </c>
    </row>
    <row r="521" spans="1:16" x14ac:dyDescent="0.25">
      <c r="A521" t="str">
        <f t="shared" si="24"/>
        <v>ORD0520</v>
      </c>
      <c r="B521" s="3">
        <v>46260</v>
      </c>
      <c r="C521" t="s">
        <v>85</v>
      </c>
      <c r="D521" t="s">
        <v>74</v>
      </c>
      <c r="E521" t="s">
        <v>30</v>
      </c>
      <c r="F521" t="s">
        <v>31</v>
      </c>
      <c r="G521">
        <v>4</v>
      </c>
      <c r="H521" s="10">
        <f>_xlfn.XLOOKUP(E521,Table18[Product],Table18[Unit_Price])</f>
        <v>110</v>
      </c>
      <c r="I521" s="10">
        <f>_xlfn.XLOOKUP(E521,Table18[Product],Table18[Cost_Price])</f>
        <v>55</v>
      </c>
      <c r="J521" s="10">
        <v>49</v>
      </c>
      <c r="K521" s="10">
        <f t="shared" si="25"/>
        <v>391</v>
      </c>
      <c r="L521" s="10">
        <f t="shared" si="26"/>
        <v>171</v>
      </c>
      <c r="M521" t="s">
        <v>61</v>
      </c>
      <c r="N521" t="s">
        <v>54</v>
      </c>
      <c r="O521" t="s">
        <v>65</v>
      </c>
      <c r="P521">
        <v>3</v>
      </c>
    </row>
    <row r="522" spans="1:16" x14ac:dyDescent="0.25">
      <c r="A522" t="str">
        <f t="shared" si="24"/>
        <v>ORD0521</v>
      </c>
      <c r="B522" s="3">
        <v>46064</v>
      </c>
      <c r="C522" t="s">
        <v>87</v>
      </c>
      <c r="D522" t="s">
        <v>52</v>
      </c>
      <c r="E522" t="s">
        <v>36</v>
      </c>
      <c r="F522" t="s">
        <v>35</v>
      </c>
      <c r="G522">
        <v>1</v>
      </c>
      <c r="H522" s="10">
        <f>_xlfn.XLOOKUP(E522,Table18[Product],Table18[Unit_Price])</f>
        <v>220</v>
      </c>
      <c r="I522" s="10">
        <f>_xlfn.XLOOKUP(E522,Table18[Product],Table18[Cost_Price])</f>
        <v>110</v>
      </c>
      <c r="J522" s="10">
        <v>8</v>
      </c>
      <c r="K522" s="10">
        <f t="shared" si="25"/>
        <v>212</v>
      </c>
      <c r="L522" s="10">
        <f t="shared" si="26"/>
        <v>102</v>
      </c>
      <c r="M522" t="s">
        <v>49</v>
      </c>
      <c r="N522" t="s">
        <v>54</v>
      </c>
      <c r="O522" t="s">
        <v>71</v>
      </c>
      <c r="P522">
        <v>3</v>
      </c>
    </row>
    <row r="523" spans="1:16" x14ac:dyDescent="0.25">
      <c r="A523" t="str">
        <f t="shared" si="24"/>
        <v>ORD0522</v>
      </c>
      <c r="B523" s="3">
        <v>46090</v>
      </c>
      <c r="C523" t="s">
        <v>105</v>
      </c>
      <c r="D523" t="s">
        <v>60</v>
      </c>
      <c r="E523" t="s">
        <v>22</v>
      </c>
      <c r="F523" t="s">
        <v>23</v>
      </c>
      <c r="G523">
        <v>3</v>
      </c>
      <c r="H523" s="10">
        <f>_xlfn.XLOOKUP(E523,Table18[Product],Table18[Unit_Price])</f>
        <v>190</v>
      </c>
      <c r="I523" s="10">
        <f>_xlfn.XLOOKUP(E523,Table18[Product],Table18[Cost_Price])</f>
        <v>95</v>
      </c>
      <c r="J523" s="10">
        <v>46</v>
      </c>
      <c r="K523" s="10">
        <f t="shared" si="25"/>
        <v>524</v>
      </c>
      <c r="L523" s="10">
        <f t="shared" si="26"/>
        <v>239</v>
      </c>
      <c r="M523" t="s">
        <v>57</v>
      </c>
      <c r="N523" t="s">
        <v>58</v>
      </c>
      <c r="O523" t="s">
        <v>51</v>
      </c>
      <c r="P523">
        <v>5</v>
      </c>
    </row>
    <row r="524" spans="1:16" x14ac:dyDescent="0.25">
      <c r="A524" t="str">
        <f t="shared" si="24"/>
        <v>ORD0523</v>
      </c>
      <c r="B524" s="3">
        <v>46092</v>
      </c>
      <c r="C524" t="s">
        <v>76</v>
      </c>
      <c r="D524" t="s">
        <v>70</v>
      </c>
      <c r="E524" t="s">
        <v>41</v>
      </c>
      <c r="F524" t="s">
        <v>40</v>
      </c>
      <c r="G524">
        <v>4</v>
      </c>
      <c r="H524" s="10">
        <f>_xlfn.XLOOKUP(E524,Table18[Product],Table18[Unit_Price])</f>
        <v>100</v>
      </c>
      <c r="I524" s="10">
        <f>_xlfn.XLOOKUP(E524,Table18[Product],Table18[Cost_Price])</f>
        <v>50</v>
      </c>
      <c r="J524" s="10">
        <v>12</v>
      </c>
      <c r="K524" s="10">
        <f t="shared" si="25"/>
        <v>388</v>
      </c>
      <c r="L524" s="10">
        <f t="shared" si="26"/>
        <v>188</v>
      </c>
      <c r="M524" t="s">
        <v>57</v>
      </c>
      <c r="N524" t="s">
        <v>58</v>
      </c>
      <c r="O524" t="s">
        <v>67</v>
      </c>
      <c r="P524">
        <v>5</v>
      </c>
    </row>
    <row r="525" spans="1:16" x14ac:dyDescent="0.25">
      <c r="A525" t="str">
        <f t="shared" si="24"/>
        <v>ORD0524</v>
      </c>
      <c r="B525" s="3">
        <v>46289</v>
      </c>
      <c r="C525" t="s">
        <v>104</v>
      </c>
      <c r="D525" t="s">
        <v>63</v>
      </c>
      <c r="E525" t="s">
        <v>38</v>
      </c>
      <c r="F525" t="s">
        <v>35</v>
      </c>
      <c r="G525">
        <v>4</v>
      </c>
      <c r="H525" s="10">
        <f>_xlfn.XLOOKUP(E525,Table18[Product],Table18[Unit_Price])</f>
        <v>170</v>
      </c>
      <c r="I525" s="10">
        <f>_xlfn.XLOOKUP(E525,Table18[Product],Table18[Cost_Price])</f>
        <v>85</v>
      </c>
      <c r="J525" s="10">
        <v>33</v>
      </c>
      <c r="K525" s="10">
        <f t="shared" si="25"/>
        <v>647</v>
      </c>
      <c r="L525" s="10">
        <f t="shared" si="26"/>
        <v>307</v>
      </c>
      <c r="M525" t="s">
        <v>61</v>
      </c>
      <c r="N525" t="s">
        <v>58</v>
      </c>
      <c r="O525" t="s">
        <v>59</v>
      </c>
      <c r="P525">
        <v>3</v>
      </c>
    </row>
    <row r="526" spans="1:16" x14ac:dyDescent="0.25">
      <c r="A526" t="str">
        <f t="shared" si="24"/>
        <v>ORD0525</v>
      </c>
      <c r="B526" s="3">
        <v>46343</v>
      </c>
      <c r="C526" t="s">
        <v>90</v>
      </c>
      <c r="D526" t="s">
        <v>60</v>
      </c>
      <c r="E526" t="s">
        <v>29</v>
      </c>
      <c r="F526" t="s">
        <v>28</v>
      </c>
      <c r="G526">
        <v>3</v>
      </c>
      <c r="H526" s="10">
        <f>_xlfn.XLOOKUP(E526,Table18[Product],Table18[Unit_Price])</f>
        <v>120</v>
      </c>
      <c r="I526" s="10">
        <f>_xlfn.XLOOKUP(E526,Table18[Product],Table18[Cost_Price])</f>
        <v>60</v>
      </c>
      <c r="J526" s="10">
        <v>49</v>
      </c>
      <c r="K526" s="10">
        <f t="shared" si="25"/>
        <v>311</v>
      </c>
      <c r="L526" s="10">
        <f t="shared" si="26"/>
        <v>131</v>
      </c>
      <c r="M526" t="s">
        <v>57</v>
      </c>
      <c r="N526" t="s">
        <v>54</v>
      </c>
      <c r="O526" t="s">
        <v>65</v>
      </c>
      <c r="P526">
        <v>5</v>
      </c>
    </row>
    <row r="527" spans="1:16" x14ac:dyDescent="0.25">
      <c r="A527" t="str">
        <f t="shared" si="24"/>
        <v>ORD0526</v>
      </c>
      <c r="B527" s="3">
        <v>46098</v>
      </c>
      <c r="C527" t="s">
        <v>103</v>
      </c>
      <c r="D527" t="s">
        <v>74</v>
      </c>
      <c r="E527" t="s">
        <v>25</v>
      </c>
      <c r="F527" t="s">
        <v>26</v>
      </c>
      <c r="G527">
        <v>4</v>
      </c>
      <c r="H527" s="10">
        <f>_xlfn.XLOOKUP(E527,Table18[Product],Table18[Unit_Price])</f>
        <v>170</v>
      </c>
      <c r="I527" s="10">
        <f>_xlfn.XLOOKUP(E527,Table18[Product],Table18[Cost_Price])</f>
        <v>85</v>
      </c>
      <c r="J527" s="10">
        <v>17</v>
      </c>
      <c r="K527" s="10">
        <f t="shared" si="25"/>
        <v>663</v>
      </c>
      <c r="L527" s="10">
        <f t="shared" si="26"/>
        <v>323</v>
      </c>
      <c r="M527" t="s">
        <v>49</v>
      </c>
      <c r="N527" t="s">
        <v>58</v>
      </c>
      <c r="O527" t="s">
        <v>65</v>
      </c>
      <c r="P527">
        <v>3</v>
      </c>
    </row>
    <row r="528" spans="1:16" x14ac:dyDescent="0.25">
      <c r="A528" t="str">
        <f t="shared" si="24"/>
        <v>ORD0527</v>
      </c>
      <c r="B528" s="3">
        <v>46379</v>
      </c>
      <c r="C528" t="s">
        <v>89</v>
      </c>
      <c r="D528" t="s">
        <v>60</v>
      </c>
      <c r="E528" t="s">
        <v>16</v>
      </c>
      <c r="F528" t="s">
        <v>17</v>
      </c>
      <c r="G528">
        <v>1</v>
      </c>
      <c r="H528" s="10">
        <f>_xlfn.XLOOKUP(E528,Table18[Product],Table18[Unit_Price])</f>
        <v>120</v>
      </c>
      <c r="I528" s="10">
        <f>_xlfn.XLOOKUP(E528,Table18[Product],Table18[Cost_Price])</f>
        <v>60</v>
      </c>
      <c r="J528" s="10">
        <v>27</v>
      </c>
      <c r="K528" s="10">
        <f t="shared" si="25"/>
        <v>93</v>
      </c>
      <c r="L528" s="10">
        <f t="shared" si="26"/>
        <v>33</v>
      </c>
      <c r="M528" t="s">
        <v>53</v>
      </c>
      <c r="N528" t="s">
        <v>58</v>
      </c>
      <c r="O528" t="s">
        <v>71</v>
      </c>
      <c r="P528">
        <v>5</v>
      </c>
    </row>
    <row r="529" spans="1:16" x14ac:dyDescent="0.25">
      <c r="A529" t="str">
        <f t="shared" si="24"/>
        <v>ORD0528</v>
      </c>
      <c r="B529" s="3">
        <v>46357</v>
      </c>
      <c r="C529" t="s">
        <v>78</v>
      </c>
      <c r="D529" t="s">
        <v>60</v>
      </c>
      <c r="E529" t="s">
        <v>27</v>
      </c>
      <c r="F529" t="s">
        <v>28</v>
      </c>
      <c r="G529">
        <v>3</v>
      </c>
      <c r="H529" s="10">
        <f>_xlfn.XLOOKUP(E529,Table18[Product],Table18[Unit_Price])</f>
        <v>140</v>
      </c>
      <c r="I529" s="10">
        <f>_xlfn.XLOOKUP(E529,Table18[Product],Table18[Cost_Price])</f>
        <v>70</v>
      </c>
      <c r="J529" s="10">
        <v>45</v>
      </c>
      <c r="K529" s="10">
        <f t="shared" si="25"/>
        <v>375</v>
      </c>
      <c r="L529" s="10">
        <f t="shared" si="26"/>
        <v>165</v>
      </c>
      <c r="M529" t="s">
        <v>64</v>
      </c>
      <c r="N529" t="s">
        <v>54</v>
      </c>
      <c r="O529" t="s">
        <v>71</v>
      </c>
      <c r="P529">
        <v>3</v>
      </c>
    </row>
    <row r="530" spans="1:16" x14ac:dyDescent="0.25">
      <c r="A530" t="str">
        <f t="shared" si="24"/>
        <v>ORD0529</v>
      </c>
      <c r="B530" s="3">
        <v>46226</v>
      </c>
      <c r="C530" t="s">
        <v>77</v>
      </c>
      <c r="D530" t="s">
        <v>48</v>
      </c>
      <c r="E530" t="s">
        <v>16</v>
      </c>
      <c r="F530" t="s">
        <v>17</v>
      </c>
      <c r="G530">
        <v>2</v>
      </c>
      <c r="H530" s="10">
        <f>_xlfn.XLOOKUP(E530,Table18[Product],Table18[Unit_Price])</f>
        <v>120</v>
      </c>
      <c r="I530" s="10">
        <f>_xlfn.XLOOKUP(E530,Table18[Product],Table18[Cost_Price])</f>
        <v>60</v>
      </c>
      <c r="J530" s="10">
        <v>32</v>
      </c>
      <c r="K530" s="10">
        <f t="shared" si="25"/>
        <v>208</v>
      </c>
      <c r="L530" s="10">
        <f t="shared" si="26"/>
        <v>88</v>
      </c>
      <c r="M530" t="s">
        <v>64</v>
      </c>
      <c r="N530" t="s">
        <v>58</v>
      </c>
      <c r="O530" t="s">
        <v>67</v>
      </c>
      <c r="P530">
        <v>4</v>
      </c>
    </row>
    <row r="531" spans="1:16" x14ac:dyDescent="0.25">
      <c r="A531" t="str">
        <f t="shared" si="24"/>
        <v>ORD0530</v>
      </c>
      <c r="B531" s="3">
        <v>46105</v>
      </c>
      <c r="C531" t="s">
        <v>105</v>
      </c>
      <c r="D531" t="s">
        <v>48</v>
      </c>
      <c r="E531" t="s">
        <v>25</v>
      </c>
      <c r="F531" t="s">
        <v>26</v>
      </c>
      <c r="G531">
        <v>4</v>
      </c>
      <c r="H531" s="10">
        <f>_xlfn.XLOOKUP(E531,Table18[Product],Table18[Unit_Price])</f>
        <v>170</v>
      </c>
      <c r="I531" s="10">
        <f>_xlfn.XLOOKUP(E531,Table18[Product],Table18[Cost_Price])</f>
        <v>85</v>
      </c>
      <c r="J531" s="10">
        <v>30</v>
      </c>
      <c r="K531" s="10">
        <f t="shared" si="25"/>
        <v>650</v>
      </c>
      <c r="L531" s="10">
        <f t="shared" si="26"/>
        <v>310</v>
      </c>
      <c r="M531" t="s">
        <v>57</v>
      </c>
      <c r="N531" t="s">
        <v>58</v>
      </c>
      <c r="O531" t="s">
        <v>51</v>
      </c>
      <c r="P531">
        <v>4</v>
      </c>
    </row>
    <row r="532" spans="1:16" x14ac:dyDescent="0.25">
      <c r="A532" t="str">
        <f t="shared" si="24"/>
        <v>ORD0531</v>
      </c>
      <c r="B532" s="3">
        <v>46195</v>
      </c>
      <c r="C532" t="s">
        <v>104</v>
      </c>
      <c r="D532" t="s">
        <v>68</v>
      </c>
      <c r="E532" t="s">
        <v>20</v>
      </c>
      <c r="F532" t="s">
        <v>17</v>
      </c>
      <c r="G532">
        <v>3</v>
      </c>
      <c r="H532" s="10">
        <f>_xlfn.XLOOKUP(E532,Table18[Product],Table18[Unit_Price])</f>
        <v>150</v>
      </c>
      <c r="I532" s="10">
        <f>_xlfn.XLOOKUP(E532,Table18[Product],Table18[Cost_Price])</f>
        <v>75</v>
      </c>
      <c r="J532" s="10">
        <v>1</v>
      </c>
      <c r="K532" s="10">
        <f t="shared" si="25"/>
        <v>449</v>
      </c>
      <c r="L532" s="10">
        <f t="shared" si="26"/>
        <v>224</v>
      </c>
      <c r="M532" t="s">
        <v>57</v>
      </c>
      <c r="N532" t="s">
        <v>54</v>
      </c>
      <c r="O532" t="s">
        <v>71</v>
      </c>
      <c r="P532">
        <v>5</v>
      </c>
    </row>
    <row r="533" spans="1:16" x14ac:dyDescent="0.25">
      <c r="A533" t="str">
        <f t="shared" si="24"/>
        <v>ORD0532</v>
      </c>
      <c r="B533" s="3">
        <v>46031</v>
      </c>
      <c r="C533" t="s">
        <v>90</v>
      </c>
      <c r="D533" t="s">
        <v>63</v>
      </c>
      <c r="E533" t="s">
        <v>41</v>
      </c>
      <c r="F533" t="s">
        <v>40</v>
      </c>
      <c r="G533">
        <v>2</v>
      </c>
      <c r="H533" s="10">
        <f>_xlfn.XLOOKUP(E533,Table18[Product],Table18[Unit_Price])</f>
        <v>100</v>
      </c>
      <c r="I533" s="10">
        <f>_xlfn.XLOOKUP(E533,Table18[Product],Table18[Cost_Price])</f>
        <v>50</v>
      </c>
      <c r="J533" s="10">
        <v>31</v>
      </c>
      <c r="K533" s="10">
        <f t="shared" si="25"/>
        <v>169</v>
      </c>
      <c r="L533" s="10">
        <f t="shared" si="26"/>
        <v>69</v>
      </c>
      <c r="M533" t="s">
        <v>53</v>
      </c>
      <c r="N533" t="s">
        <v>54</v>
      </c>
      <c r="O533" t="s">
        <v>51</v>
      </c>
      <c r="P533">
        <v>3</v>
      </c>
    </row>
    <row r="534" spans="1:16" x14ac:dyDescent="0.25">
      <c r="A534" t="str">
        <f t="shared" si="24"/>
        <v>ORD0533</v>
      </c>
      <c r="B534" s="3">
        <v>46137</v>
      </c>
      <c r="C534" t="s">
        <v>99</v>
      </c>
      <c r="D534" t="s">
        <v>74</v>
      </c>
      <c r="E534" t="s">
        <v>25</v>
      </c>
      <c r="F534" t="s">
        <v>26</v>
      </c>
      <c r="G534">
        <v>5</v>
      </c>
      <c r="H534" s="10">
        <f>_xlfn.XLOOKUP(E534,Table18[Product],Table18[Unit_Price])</f>
        <v>170</v>
      </c>
      <c r="I534" s="10">
        <f>_xlfn.XLOOKUP(E534,Table18[Product],Table18[Cost_Price])</f>
        <v>85</v>
      </c>
      <c r="J534" s="10">
        <v>38</v>
      </c>
      <c r="K534" s="10">
        <f t="shared" si="25"/>
        <v>812</v>
      </c>
      <c r="L534" s="10">
        <f t="shared" si="26"/>
        <v>387</v>
      </c>
      <c r="M534" t="s">
        <v>49</v>
      </c>
      <c r="N534" t="s">
        <v>54</v>
      </c>
      <c r="O534" t="s">
        <v>59</v>
      </c>
      <c r="P534">
        <v>5</v>
      </c>
    </row>
    <row r="535" spans="1:16" x14ac:dyDescent="0.25">
      <c r="A535" t="str">
        <f t="shared" si="24"/>
        <v>ORD0534</v>
      </c>
      <c r="B535" s="3">
        <v>46370</v>
      </c>
      <c r="C535" t="s">
        <v>95</v>
      </c>
      <c r="D535" t="s">
        <v>52</v>
      </c>
      <c r="E535" t="s">
        <v>37</v>
      </c>
      <c r="F535" t="s">
        <v>35</v>
      </c>
      <c r="G535">
        <v>3</v>
      </c>
      <c r="H535" s="10">
        <f>_xlfn.XLOOKUP(E535,Table18[Product],Table18[Unit_Price])</f>
        <v>160</v>
      </c>
      <c r="I535" s="10">
        <f>_xlfn.XLOOKUP(E535,Table18[Product],Table18[Cost_Price])</f>
        <v>80</v>
      </c>
      <c r="J535" s="10">
        <v>32</v>
      </c>
      <c r="K535" s="10">
        <f t="shared" si="25"/>
        <v>448</v>
      </c>
      <c r="L535" s="10">
        <f t="shared" si="26"/>
        <v>208</v>
      </c>
      <c r="M535" t="s">
        <v>61</v>
      </c>
      <c r="N535" t="s">
        <v>58</v>
      </c>
      <c r="O535" t="s">
        <v>73</v>
      </c>
      <c r="P535">
        <v>4</v>
      </c>
    </row>
    <row r="536" spans="1:16" x14ac:dyDescent="0.25">
      <c r="A536" t="str">
        <f t="shared" si="24"/>
        <v>ORD0535</v>
      </c>
      <c r="B536" s="3">
        <v>46280</v>
      </c>
      <c r="C536" t="s">
        <v>90</v>
      </c>
      <c r="D536" t="s">
        <v>60</v>
      </c>
      <c r="E536" t="s">
        <v>41</v>
      </c>
      <c r="F536" t="s">
        <v>40</v>
      </c>
      <c r="G536">
        <v>4</v>
      </c>
      <c r="H536" s="10">
        <f>_xlfn.XLOOKUP(E536,Table18[Product],Table18[Unit_Price])</f>
        <v>100</v>
      </c>
      <c r="I536" s="10">
        <f>_xlfn.XLOOKUP(E536,Table18[Product],Table18[Cost_Price])</f>
        <v>50</v>
      </c>
      <c r="J536" s="10">
        <v>12</v>
      </c>
      <c r="K536" s="10">
        <f t="shared" si="25"/>
        <v>388</v>
      </c>
      <c r="L536" s="10">
        <f t="shared" si="26"/>
        <v>188</v>
      </c>
      <c r="M536" t="s">
        <v>61</v>
      </c>
      <c r="N536" t="s">
        <v>54</v>
      </c>
      <c r="O536" t="s">
        <v>55</v>
      </c>
      <c r="P536">
        <v>4</v>
      </c>
    </row>
    <row r="537" spans="1:16" x14ac:dyDescent="0.25">
      <c r="A537" t="str">
        <f t="shared" si="24"/>
        <v>ORD0536</v>
      </c>
      <c r="B537" s="3">
        <v>46362</v>
      </c>
      <c r="C537" t="s">
        <v>76</v>
      </c>
      <c r="D537" t="s">
        <v>74</v>
      </c>
      <c r="E537" t="s">
        <v>36</v>
      </c>
      <c r="F537" t="s">
        <v>35</v>
      </c>
      <c r="G537">
        <v>5</v>
      </c>
      <c r="H537" s="10">
        <f>_xlfn.XLOOKUP(E537,Table18[Product],Table18[Unit_Price])</f>
        <v>220</v>
      </c>
      <c r="I537" s="10">
        <f>_xlfn.XLOOKUP(E537,Table18[Product],Table18[Cost_Price])</f>
        <v>110</v>
      </c>
      <c r="J537" s="10">
        <v>11</v>
      </c>
      <c r="K537" s="10">
        <f t="shared" si="25"/>
        <v>1089</v>
      </c>
      <c r="L537" s="10">
        <f t="shared" si="26"/>
        <v>539</v>
      </c>
      <c r="M537" t="s">
        <v>53</v>
      </c>
      <c r="N537" t="s">
        <v>54</v>
      </c>
      <c r="O537" t="s">
        <v>73</v>
      </c>
      <c r="P537">
        <v>3</v>
      </c>
    </row>
    <row r="538" spans="1:16" x14ac:dyDescent="0.25">
      <c r="A538" t="str">
        <f t="shared" si="24"/>
        <v>ORD0537</v>
      </c>
      <c r="B538" s="3">
        <v>46214</v>
      </c>
      <c r="C538" t="s">
        <v>98</v>
      </c>
      <c r="D538" t="s">
        <v>74</v>
      </c>
      <c r="E538" t="s">
        <v>25</v>
      </c>
      <c r="F538" t="s">
        <v>26</v>
      </c>
      <c r="G538">
        <v>4</v>
      </c>
      <c r="H538" s="10">
        <f>_xlfn.XLOOKUP(E538,Table18[Product],Table18[Unit_Price])</f>
        <v>170</v>
      </c>
      <c r="I538" s="10">
        <f>_xlfn.XLOOKUP(E538,Table18[Product],Table18[Cost_Price])</f>
        <v>85</v>
      </c>
      <c r="J538" s="10">
        <v>28</v>
      </c>
      <c r="K538" s="10">
        <f t="shared" si="25"/>
        <v>652</v>
      </c>
      <c r="L538" s="10">
        <f t="shared" si="26"/>
        <v>312</v>
      </c>
      <c r="M538" t="s">
        <v>61</v>
      </c>
      <c r="N538" t="s">
        <v>58</v>
      </c>
      <c r="O538" t="s">
        <v>62</v>
      </c>
      <c r="P538">
        <v>4</v>
      </c>
    </row>
    <row r="539" spans="1:16" x14ac:dyDescent="0.25">
      <c r="A539" t="str">
        <f t="shared" si="24"/>
        <v>ORD0538</v>
      </c>
      <c r="B539" s="3">
        <v>46108</v>
      </c>
      <c r="C539" t="s">
        <v>105</v>
      </c>
      <c r="D539" t="s">
        <v>63</v>
      </c>
      <c r="E539" t="s">
        <v>21</v>
      </c>
      <c r="F539" t="s">
        <v>17</v>
      </c>
      <c r="G539">
        <v>3</v>
      </c>
      <c r="H539" s="10">
        <f>_xlfn.XLOOKUP(E539,Table18[Product],Table18[Unit_Price])</f>
        <v>220</v>
      </c>
      <c r="I539" s="10">
        <f>_xlfn.XLOOKUP(E539,Table18[Product],Table18[Cost_Price])</f>
        <v>110</v>
      </c>
      <c r="J539" s="10">
        <v>23</v>
      </c>
      <c r="K539" s="10">
        <f t="shared" si="25"/>
        <v>637</v>
      </c>
      <c r="L539" s="10">
        <f t="shared" si="26"/>
        <v>307</v>
      </c>
      <c r="M539" t="s">
        <v>64</v>
      </c>
      <c r="N539" t="s">
        <v>54</v>
      </c>
      <c r="O539" t="s">
        <v>55</v>
      </c>
      <c r="P539">
        <v>5</v>
      </c>
    </row>
    <row r="540" spans="1:16" x14ac:dyDescent="0.25">
      <c r="A540" t="str">
        <f t="shared" si="24"/>
        <v>ORD0539</v>
      </c>
      <c r="B540" s="3">
        <v>46268</v>
      </c>
      <c r="C540" t="s">
        <v>83</v>
      </c>
      <c r="D540" t="s">
        <v>56</v>
      </c>
      <c r="E540" t="s">
        <v>33</v>
      </c>
      <c r="F540" t="s">
        <v>31</v>
      </c>
      <c r="G540">
        <v>5</v>
      </c>
      <c r="H540" s="10">
        <f>_xlfn.XLOOKUP(E540,Table18[Product],Table18[Unit_Price])</f>
        <v>150</v>
      </c>
      <c r="I540" s="10">
        <f>_xlfn.XLOOKUP(E540,Table18[Product],Table18[Cost_Price])</f>
        <v>75</v>
      </c>
      <c r="J540" s="10">
        <v>7</v>
      </c>
      <c r="K540" s="10">
        <f t="shared" si="25"/>
        <v>743</v>
      </c>
      <c r="L540" s="10">
        <f t="shared" si="26"/>
        <v>368</v>
      </c>
      <c r="M540" t="s">
        <v>53</v>
      </c>
      <c r="N540" t="s">
        <v>54</v>
      </c>
      <c r="O540" t="s">
        <v>51</v>
      </c>
      <c r="P540">
        <v>3</v>
      </c>
    </row>
    <row r="541" spans="1:16" x14ac:dyDescent="0.25">
      <c r="A541" t="str">
        <f t="shared" si="24"/>
        <v>ORD0540</v>
      </c>
      <c r="B541" s="3">
        <v>46330</v>
      </c>
      <c r="C541" t="s">
        <v>85</v>
      </c>
      <c r="D541" t="s">
        <v>68</v>
      </c>
      <c r="E541" t="s">
        <v>39</v>
      </c>
      <c r="F541" t="s">
        <v>40</v>
      </c>
      <c r="G541">
        <v>1</v>
      </c>
      <c r="H541" s="10">
        <f>_xlfn.XLOOKUP(E541,Table18[Product],Table18[Unit_Price])</f>
        <v>240</v>
      </c>
      <c r="I541" s="10">
        <f>_xlfn.XLOOKUP(E541,Table18[Product],Table18[Cost_Price])</f>
        <v>120</v>
      </c>
      <c r="J541" s="10">
        <v>18</v>
      </c>
      <c r="K541" s="10">
        <f t="shared" si="25"/>
        <v>222</v>
      </c>
      <c r="L541" s="10">
        <f t="shared" si="26"/>
        <v>102</v>
      </c>
      <c r="M541" t="s">
        <v>49</v>
      </c>
      <c r="N541" t="s">
        <v>54</v>
      </c>
      <c r="O541" t="s">
        <v>62</v>
      </c>
      <c r="P541">
        <v>3</v>
      </c>
    </row>
    <row r="542" spans="1:16" x14ac:dyDescent="0.25">
      <c r="A542" t="str">
        <f t="shared" si="24"/>
        <v>ORD0541</v>
      </c>
      <c r="B542" s="3">
        <v>46184</v>
      </c>
      <c r="C542" t="s">
        <v>102</v>
      </c>
      <c r="D542" t="s">
        <v>52</v>
      </c>
      <c r="E542" t="s">
        <v>25</v>
      </c>
      <c r="F542" t="s">
        <v>26</v>
      </c>
      <c r="G542">
        <v>3</v>
      </c>
      <c r="H542" s="10">
        <f>_xlfn.XLOOKUP(E542,Table18[Product],Table18[Unit_Price])</f>
        <v>170</v>
      </c>
      <c r="I542" s="10">
        <f>_xlfn.XLOOKUP(E542,Table18[Product],Table18[Cost_Price])</f>
        <v>85</v>
      </c>
      <c r="J542" s="10">
        <v>11</v>
      </c>
      <c r="K542" s="10">
        <f t="shared" si="25"/>
        <v>499</v>
      </c>
      <c r="L542" s="10">
        <f t="shared" si="26"/>
        <v>244</v>
      </c>
      <c r="M542" t="s">
        <v>53</v>
      </c>
      <c r="N542" t="s">
        <v>50</v>
      </c>
      <c r="O542" t="s">
        <v>73</v>
      </c>
      <c r="P542">
        <v>3</v>
      </c>
    </row>
    <row r="543" spans="1:16" x14ac:dyDescent="0.25">
      <c r="A543" t="str">
        <f t="shared" si="24"/>
        <v>ORD0542</v>
      </c>
      <c r="B543" s="3">
        <v>46084</v>
      </c>
      <c r="C543" t="s">
        <v>95</v>
      </c>
      <c r="D543" t="s">
        <v>66</v>
      </c>
      <c r="E543" t="s">
        <v>21</v>
      </c>
      <c r="F543" t="s">
        <v>17</v>
      </c>
      <c r="G543">
        <v>2</v>
      </c>
      <c r="H543" s="10">
        <f>_xlfn.XLOOKUP(E543,Table18[Product],Table18[Unit_Price])</f>
        <v>220</v>
      </c>
      <c r="I543" s="10">
        <f>_xlfn.XLOOKUP(E543,Table18[Product],Table18[Cost_Price])</f>
        <v>110</v>
      </c>
      <c r="J543" s="10">
        <v>36</v>
      </c>
      <c r="K543" s="10">
        <f t="shared" si="25"/>
        <v>404</v>
      </c>
      <c r="L543" s="10">
        <f t="shared" si="26"/>
        <v>184</v>
      </c>
      <c r="M543" t="s">
        <v>49</v>
      </c>
      <c r="N543" t="s">
        <v>58</v>
      </c>
      <c r="O543" t="s">
        <v>71</v>
      </c>
      <c r="P543">
        <v>3</v>
      </c>
    </row>
    <row r="544" spans="1:16" x14ac:dyDescent="0.25">
      <c r="A544" t="str">
        <f t="shared" si="24"/>
        <v>ORD0543</v>
      </c>
      <c r="B544" s="3">
        <v>46030</v>
      </c>
      <c r="C544" t="s">
        <v>93</v>
      </c>
      <c r="D544" t="s">
        <v>63</v>
      </c>
      <c r="E544" t="s">
        <v>36</v>
      </c>
      <c r="F544" t="s">
        <v>35</v>
      </c>
      <c r="G544">
        <v>5</v>
      </c>
      <c r="H544" s="10">
        <f>_xlfn.XLOOKUP(E544,Table18[Product],Table18[Unit_Price])</f>
        <v>220</v>
      </c>
      <c r="I544" s="10">
        <f>_xlfn.XLOOKUP(E544,Table18[Product],Table18[Cost_Price])</f>
        <v>110</v>
      </c>
      <c r="J544" s="10">
        <v>37</v>
      </c>
      <c r="K544" s="10">
        <f t="shared" si="25"/>
        <v>1063</v>
      </c>
      <c r="L544" s="10">
        <f t="shared" si="26"/>
        <v>513</v>
      </c>
      <c r="M544" t="s">
        <v>61</v>
      </c>
      <c r="N544" t="s">
        <v>50</v>
      </c>
      <c r="O544" t="s">
        <v>59</v>
      </c>
      <c r="P544">
        <v>4</v>
      </c>
    </row>
    <row r="545" spans="1:16" x14ac:dyDescent="0.25">
      <c r="A545" t="str">
        <f t="shared" si="24"/>
        <v>ORD0544</v>
      </c>
      <c r="B545" s="3">
        <v>46341</v>
      </c>
      <c r="C545" t="s">
        <v>100</v>
      </c>
      <c r="D545" t="s">
        <v>74</v>
      </c>
      <c r="E545" t="s">
        <v>36</v>
      </c>
      <c r="F545" t="s">
        <v>35</v>
      </c>
      <c r="G545">
        <v>5</v>
      </c>
      <c r="H545" s="10">
        <f>_xlfn.XLOOKUP(E545,Table18[Product],Table18[Unit_Price])</f>
        <v>220</v>
      </c>
      <c r="I545" s="10">
        <f>_xlfn.XLOOKUP(E545,Table18[Product],Table18[Cost_Price])</f>
        <v>110</v>
      </c>
      <c r="J545" s="10">
        <v>19</v>
      </c>
      <c r="K545" s="10">
        <f t="shared" si="25"/>
        <v>1081</v>
      </c>
      <c r="L545" s="10">
        <f t="shared" si="26"/>
        <v>531</v>
      </c>
      <c r="M545" t="s">
        <v>61</v>
      </c>
      <c r="N545" t="s">
        <v>50</v>
      </c>
      <c r="O545" t="s">
        <v>55</v>
      </c>
      <c r="P545">
        <v>4</v>
      </c>
    </row>
    <row r="546" spans="1:16" x14ac:dyDescent="0.25">
      <c r="A546" t="str">
        <f t="shared" si="24"/>
        <v>ORD0545</v>
      </c>
      <c r="B546" s="3">
        <v>46318</v>
      </c>
      <c r="C546" t="s">
        <v>98</v>
      </c>
      <c r="D546" t="s">
        <v>72</v>
      </c>
      <c r="E546" t="s">
        <v>42</v>
      </c>
      <c r="F546" t="s">
        <v>40</v>
      </c>
      <c r="G546">
        <v>5</v>
      </c>
      <c r="H546" s="10">
        <f>_xlfn.XLOOKUP(E546,Table18[Product],Table18[Unit_Price])</f>
        <v>80</v>
      </c>
      <c r="I546" s="10">
        <f>_xlfn.XLOOKUP(E546,Table18[Product],Table18[Cost_Price])</f>
        <v>40</v>
      </c>
      <c r="J546" s="10">
        <v>1</v>
      </c>
      <c r="K546" s="10">
        <f t="shared" si="25"/>
        <v>399</v>
      </c>
      <c r="L546" s="10">
        <f t="shared" si="26"/>
        <v>199</v>
      </c>
      <c r="M546" t="s">
        <v>57</v>
      </c>
      <c r="N546" t="s">
        <v>50</v>
      </c>
      <c r="O546" t="s">
        <v>67</v>
      </c>
      <c r="P546">
        <v>3</v>
      </c>
    </row>
    <row r="547" spans="1:16" x14ac:dyDescent="0.25">
      <c r="A547" t="str">
        <f t="shared" si="24"/>
        <v>ORD0546</v>
      </c>
      <c r="B547" s="3">
        <v>46101</v>
      </c>
      <c r="C547" t="s">
        <v>81</v>
      </c>
      <c r="D547" t="s">
        <v>52</v>
      </c>
      <c r="E547" t="s">
        <v>38</v>
      </c>
      <c r="F547" t="s">
        <v>35</v>
      </c>
      <c r="G547">
        <v>1</v>
      </c>
      <c r="H547" s="10">
        <f>_xlfn.XLOOKUP(E547,Table18[Product],Table18[Unit_Price])</f>
        <v>170</v>
      </c>
      <c r="I547" s="10">
        <f>_xlfn.XLOOKUP(E547,Table18[Product],Table18[Cost_Price])</f>
        <v>85</v>
      </c>
      <c r="J547" s="10">
        <v>47</v>
      </c>
      <c r="K547" s="10">
        <f t="shared" si="25"/>
        <v>123</v>
      </c>
      <c r="L547" s="10">
        <f t="shared" si="26"/>
        <v>38</v>
      </c>
      <c r="M547" t="s">
        <v>53</v>
      </c>
      <c r="N547" t="s">
        <v>50</v>
      </c>
      <c r="O547" t="s">
        <v>67</v>
      </c>
      <c r="P547">
        <v>5</v>
      </c>
    </row>
    <row r="548" spans="1:16" x14ac:dyDescent="0.25">
      <c r="A548" t="str">
        <f t="shared" si="24"/>
        <v>ORD0547</v>
      </c>
      <c r="B548" s="3">
        <v>46087</v>
      </c>
      <c r="C548" t="s">
        <v>91</v>
      </c>
      <c r="D548" t="s">
        <v>72</v>
      </c>
      <c r="E548" t="s">
        <v>41</v>
      </c>
      <c r="F548" t="s">
        <v>40</v>
      </c>
      <c r="G548">
        <v>1</v>
      </c>
      <c r="H548" s="10">
        <f>_xlfn.XLOOKUP(E548,Table18[Product],Table18[Unit_Price])</f>
        <v>100</v>
      </c>
      <c r="I548" s="10">
        <f>_xlfn.XLOOKUP(E548,Table18[Product],Table18[Cost_Price])</f>
        <v>50</v>
      </c>
      <c r="J548" s="10">
        <v>4</v>
      </c>
      <c r="K548" s="10">
        <f t="shared" si="25"/>
        <v>96</v>
      </c>
      <c r="L548" s="10">
        <f t="shared" si="26"/>
        <v>46</v>
      </c>
      <c r="M548" t="s">
        <v>49</v>
      </c>
      <c r="N548" t="s">
        <v>58</v>
      </c>
      <c r="O548" t="s">
        <v>75</v>
      </c>
      <c r="P548">
        <v>3</v>
      </c>
    </row>
    <row r="549" spans="1:16" x14ac:dyDescent="0.25">
      <c r="A549" t="str">
        <f t="shared" si="24"/>
        <v>ORD0548</v>
      </c>
      <c r="B549" s="3">
        <v>46362</v>
      </c>
      <c r="C549" t="s">
        <v>102</v>
      </c>
      <c r="D549" t="s">
        <v>56</v>
      </c>
      <c r="E549" t="s">
        <v>32</v>
      </c>
      <c r="F549" t="s">
        <v>31</v>
      </c>
      <c r="G549">
        <v>2</v>
      </c>
      <c r="H549" s="10">
        <f>_xlfn.XLOOKUP(E549,Table18[Product],Table18[Unit_Price])</f>
        <v>130</v>
      </c>
      <c r="I549" s="10">
        <f>_xlfn.XLOOKUP(E549,Table18[Product],Table18[Cost_Price])</f>
        <v>65</v>
      </c>
      <c r="J549" s="10">
        <v>2</v>
      </c>
      <c r="K549" s="10">
        <f t="shared" si="25"/>
        <v>258</v>
      </c>
      <c r="L549" s="10">
        <f t="shared" si="26"/>
        <v>128</v>
      </c>
      <c r="M549" t="s">
        <v>57</v>
      </c>
      <c r="N549" t="s">
        <v>58</v>
      </c>
      <c r="O549" t="s">
        <v>67</v>
      </c>
      <c r="P549">
        <v>3</v>
      </c>
    </row>
    <row r="550" spans="1:16" x14ac:dyDescent="0.25">
      <c r="A550" t="str">
        <f t="shared" si="24"/>
        <v>ORD0549</v>
      </c>
      <c r="B550" s="3">
        <v>46065</v>
      </c>
      <c r="C550" t="s">
        <v>81</v>
      </c>
      <c r="D550" t="s">
        <v>52</v>
      </c>
      <c r="E550" t="s">
        <v>22</v>
      </c>
      <c r="F550" t="s">
        <v>23</v>
      </c>
      <c r="G550">
        <v>1</v>
      </c>
      <c r="H550" s="10">
        <f>_xlfn.XLOOKUP(E550,Table18[Product],Table18[Unit_Price])</f>
        <v>190</v>
      </c>
      <c r="I550" s="10">
        <f>_xlfn.XLOOKUP(E550,Table18[Product],Table18[Cost_Price])</f>
        <v>95</v>
      </c>
      <c r="J550" s="10">
        <v>22</v>
      </c>
      <c r="K550" s="10">
        <f t="shared" si="25"/>
        <v>168</v>
      </c>
      <c r="L550" s="10">
        <f t="shared" si="26"/>
        <v>73</v>
      </c>
      <c r="M550" t="s">
        <v>49</v>
      </c>
      <c r="N550" t="s">
        <v>54</v>
      </c>
      <c r="O550" t="s">
        <v>51</v>
      </c>
      <c r="P550">
        <v>4</v>
      </c>
    </row>
    <row r="551" spans="1:16" x14ac:dyDescent="0.25">
      <c r="A551" t="str">
        <f t="shared" si="24"/>
        <v>ORD0550</v>
      </c>
      <c r="B551" s="3">
        <v>46024</v>
      </c>
      <c r="C551" t="s">
        <v>86</v>
      </c>
      <c r="D551" t="s">
        <v>52</v>
      </c>
      <c r="E551" t="s">
        <v>42</v>
      </c>
      <c r="F551" t="s">
        <v>40</v>
      </c>
      <c r="G551">
        <v>4</v>
      </c>
      <c r="H551" s="10">
        <f>_xlfn.XLOOKUP(E551,Table18[Product],Table18[Unit_Price])</f>
        <v>80</v>
      </c>
      <c r="I551" s="10">
        <f>_xlfn.XLOOKUP(E551,Table18[Product],Table18[Cost_Price])</f>
        <v>40</v>
      </c>
      <c r="J551" s="10">
        <v>35</v>
      </c>
      <c r="K551" s="10">
        <f t="shared" si="25"/>
        <v>285</v>
      </c>
      <c r="L551" s="10">
        <f t="shared" si="26"/>
        <v>125</v>
      </c>
      <c r="M551" t="s">
        <v>49</v>
      </c>
      <c r="N551" t="s">
        <v>54</v>
      </c>
      <c r="O551" t="s">
        <v>59</v>
      </c>
      <c r="P551">
        <v>4</v>
      </c>
    </row>
    <row r="552" spans="1:16" x14ac:dyDescent="0.25">
      <c r="A552" t="str">
        <f t="shared" si="24"/>
        <v>ORD0551</v>
      </c>
      <c r="B552" s="3">
        <v>46039</v>
      </c>
      <c r="C552" t="s">
        <v>97</v>
      </c>
      <c r="D552" t="s">
        <v>66</v>
      </c>
      <c r="E552" t="s">
        <v>27</v>
      </c>
      <c r="F552" t="s">
        <v>28</v>
      </c>
      <c r="G552">
        <v>4</v>
      </c>
      <c r="H552" s="10">
        <f>_xlfn.XLOOKUP(E552,Table18[Product],Table18[Unit_Price])</f>
        <v>140</v>
      </c>
      <c r="I552" s="10">
        <f>_xlfn.XLOOKUP(E552,Table18[Product],Table18[Cost_Price])</f>
        <v>70</v>
      </c>
      <c r="J552" s="10">
        <v>29</v>
      </c>
      <c r="K552" s="10">
        <f t="shared" si="25"/>
        <v>531</v>
      </c>
      <c r="L552" s="10">
        <f t="shared" si="26"/>
        <v>251</v>
      </c>
      <c r="M552" t="s">
        <v>57</v>
      </c>
      <c r="N552" t="s">
        <v>54</v>
      </c>
      <c r="O552" t="s">
        <v>59</v>
      </c>
      <c r="P552">
        <v>5</v>
      </c>
    </row>
    <row r="553" spans="1:16" x14ac:dyDescent="0.25">
      <c r="A553" t="str">
        <f t="shared" si="24"/>
        <v>ORD0552</v>
      </c>
      <c r="B553" s="3">
        <v>46284</v>
      </c>
      <c r="C553" t="s">
        <v>79</v>
      </c>
      <c r="D553" t="s">
        <v>56</v>
      </c>
      <c r="E553" t="s">
        <v>37</v>
      </c>
      <c r="F553" t="s">
        <v>35</v>
      </c>
      <c r="G553">
        <v>3</v>
      </c>
      <c r="H553" s="10">
        <f>_xlfn.XLOOKUP(E553,Table18[Product],Table18[Unit_Price])</f>
        <v>160</v>
      </c>
      <c r="I553" s="10">
        <f>_xlfn.XLOOKUP(E553,Table18[Product],Table18[Cost_Price])</f>
        <v>80</v>
      </c>
      <c r="J553" s="10">
        <v>1</v>
      </c>
      <c r="K553" s="10">
        <f t="shared" si="25"/>
        <v>479</v>
      </c>
      <c r="L553" s="10">
        <f t="shared" si="26"/>
        <v>239</v>
      </c>
      <c r="M553" t="s">
        <v>61</v>
      </c>
      <c r="N553" t="s">
        <v>50</v>
      </c>
      <c r="O553" t="s">
        <v>75</v>
      </c>
      <c r="P553">
        <v>5</v>
      </c>
    </row>
    <row r="554" spans="1:16" x14ac:dyDescent="0.25">
      <c r="A554" t="str">
        <f t="shared" si="24"/>
        <v>ORD0553</v>
      </c>
      <c r="B554" s="3">
        <v>46289</v>
      </c>
      <c r="C554" t="s">
        <v>98</v>
      </c>
      <c r="D554" t="s">
        <v>63</v>
      </c>
      <c r="E554" t="s">
        <v>27</v>
      </c>
      <c r="F554" t="s">
        <v>28</v>
      </c>
      <c r="G554">
        <v>1</v>
      </c>
      <c r="H554" s="10">
        <f>_xlfn.XLOOKUP(E554,Table18[Product],Table18[Unit_Price])</f>
        <v>140</v>
      </c>
      <c r="I554" s="10">
        <f>_xlfn.XLOOKUP(E554,Table18[Product],Table18[Cost_Price])</f>
        <v>70</v>
      </c>
      <c r="J554" s="10">
        <v>23</v>
      </c>
      <c r="K554" s="10">
        <f t="shared" si="25"/>
        <v>117</v>
      </c>
      <c r="L554" s="10">
        <f t="shared" si="26"/>
        <v>47</v>
      </c>
      <c r="M554" t="s">
        <v>64</v>
      </c>
      <c r="N554" t="s">
        <v>50</v>
      </c>
      <c r="O554" t="s">
        <v>51</v>
      </c>
      <c r="P554">
        <v>3</v>
      </c>
    </row>
    <row r="555" spans="1:16" x14ac:dyDescent="0.25">
      <c r="A555" t="str">
        <f t="shared" si="24"/>
        <v>ORD0554</v>
      </c>
      <c r="B555" s="3">
        <v>46194</v>
      </c>
      <c r="C555" t="s">
        <v>94</v>
      </c>
      <c r="D555" t="s">
        <v>63</v>
      </c>
      <c r="E555" t="s">
        <v>34</v>
      </c>
      <c r="F555" t="s">
        <v>35</v>
      </c>
      <c r="G555">
        <v>3</v>
      </c>
      <c r="H555" s="10">
        <f>_xlfn.XLOOKUP(E555,Table18[Product],Table18[Unit_Price])</f>
        <v>180</v>
      </c>
      <c r="I555" s="10">
        <f>_xlfn.XLOOKUP(E555,Table18[Product],Table18[Cost_Price])</f>
        <v>90</v>
      </c>
      <c r="J555" s="10">
        <v>44</v>
      </c>
      <c r="K555" s="10">
        <f t="shared" si="25"/>
        <v>496</v>
      </c>
      <c r="L555" s="10">
        <f t="shared" si="26"/>
        <v>226</v>
      </c>
      <c r="M555" t="s">
        <v>53</v>
      </c>
      <c r="N555" t="s">
        <v>50</v>
      </c>
      <c r="O555" t="s">
        <v>55</v>
      </c>
      <c r="P555">
        <v>3</v>
      </c>
    </row>
    <row r="556" spans="1:16" x14ac:dyDescent="0.25">
      <c r="A556" t="str">
        <f t="shared" si="24"/>
        <v>ORD0555</v>
      </c>
      <c r="B556" s="3">
        <v>46335</v>
      </c>
      <c r="C556" t="s">
        <v>91</v>
      </c>
      <c r="D556" t="s">
        <v>63</v>
      </c>
      <c r="E556" t="s">
        <v>42</v>
      </c>
      <c r="F556" t="s">
        <v>40</v>
      </c>
      <c r="G556">
        <v>1</v>
      </c>
      <c r="H556" s="10">
        <f>_xlfn.XLOOKUP(E556,Table18[Product],Table18[Unit_Price])</f>
        <v>80</v>
      </c>
      <c r="I556" s="10">
        <f>_xlfn.XLOOKUP(E556,Table18[Product],Table18[Cost_Price])</f>
        <v>40</v>
      </c>
      <c r="J556" s="10">
        <v>9</v>
      </c>
      <c r="K556" s="10">
        <f t="shared" si="25"/>
        <v>71</v>
      </c>
      <c r="L556" s="10">
        <f t="shared" si="26"/>
        <v>31</v>
      </c>
      <c r="M556" t="s">
        <v>57</v>
      </c>
      <c r="N556" t="s">
        <v>58</v>
      </c>
      <c r="O556" t="s">
        <v>51</v>
      </c>
      <c r="P556">
        <v>3</v>
      </c>
    </row>
    <row r="557" spans="1:16" x14ac:dyDescent="0.25">
      <c r="A557" t="str">
        <f t="shared" si="24"/>
        <v>ORD0556</v>
      </c>
      <c r="B557" s="3">
        <v>46378</v>
      </c>
      <c r="C557" t="s">
        <v>78</v>
      </c>
      <c r="D557" t="s">
        <v>70</v>
      </c>
      <c r="E557" t="s">
        <v>42</v>
      </c>
      <c r="F557" t="s">
        <v>40</v>
      </c>
      <c r="G557">
        <v>3</v>
      </c>
      <c r="H557" s="10">
        <f>_xlfn.XLOOKUP(E557,Table18[Product],Table18[Unit_Price])</f>
        <v>80</v>
      </c>
      <c r="I557" s="10">
        <f>_xlfn.XLOOKUP(E557,Table18[Product],Table18[Cost_Price])</f>
        <v>40</v>
      </c>
      <c r="J557" s="10">
        <v>0</v>
      </c>
      <c r="K557" s="10">
        <f t="shared" si="25"/>
        <v>240</v>
      </c>
      <c r="L557" s="10">
        <f t="shared" si="26"/>
        <v>120</v>
      </c>
      <c r="M557" t="s">
        <v>57</v>
      </c>
      <c r="N557" t="s">
        <v>54</v>
      </c>
      <c r="O557" t="s">
        <v>62</v>
      </c>
      <c r="P557">
        <v>4</v>
      </c>
    </row>
    <row r="558" spans="1:16" x14ac:dyDescent="0.25">
      <c r="A558" t="str">
        <f t="shared" si="24"/>
        <v>ORD0557</v>
      </c>
      <c r="B558" s="3">
        <v>46354</v>
      </c>
      <c r="C558" t="s">
        <v>101</v>
      </c>
      <c r="D558" t="s">
        <v>56</v>
      </c>
      <c r="E558" t="s">
        <v>38</v>
      </c>
      <c r="F558" t="s">
        <v>35</v>
      </c>
      <c r="G558">
        <v>4</v>
      </c>
      <c r="H558" s="10">
        <f>_xlfn.XLOOKUP(E558,Table18[Product],Table18[Unit_Price])</f>
        <v>170</v>
      </c>
      <c r="I558" s="10">
        <f>_xlfn.XLOOKUP(E558,Table18[Product],Table18[Cost_Price])</f>
        <v>85</v>
      </c>
      <c r="J558" s="10">
        <v>37</v>
      </c>
      <c r="K558" s="10">
        <f t="shared" si="25"/>
        <v>643</v>
      </c>
      <c r="L558" s="10">
        <f t="shared" si="26"/>
        <v>303</v>
      </c>
      <c r="M558" t="s">
        <v>49</v>
      </c>
      <c r="N558" t="s">
        <v>50</v>
      </c>
      <c r="O558" t="s">
        <v>69</v>
      </c>
      <c r="P558">
        <v>4</v>
      </c>
    </row>
    <row r="559" spans="1:16" x14ac:dyDescent="0.25">
      <c r="A559" t="str">
        <f t="shared" si="24"/>
        <v>ORD0558</v>
      </c>
      <c r="B559" s="3">
        <v>46317</v>
      </c>
      <c r="C559" t="s">
        <v>89</v>
      </c>
      <c r="D559" t="s">
        <v>56</v>
      </c>
      <c r="E559" t="s">
        <v>37</v>
      </c>
      <c r="F559" t="s">
        <v>35</v>
      </c>
      <c r="G559">
        <v>4</v>
      </c>
      <c r="H559" s="10">
        <f>_xlfn.XLOOKUP(E559,Table18[Product],Table18[Unit_Price])</f>
        <v>160</v>
      </c>
      <c r="I559" s="10">
        <f>_xlfn.XLOOKUP(E559,Table18[Product],Table18[Cost_Price])</f>
        <v>80</v>
      </c>
      <c r="J559" s="10">
        <v>16</v>
      </c>
      <c r="K559" s="10">
        <f t="shared" si="25"/>
        <v>624</v>
      </c>
      <c r="L559" s="10">
        <f t="shared" si="26"/>
        <v>304</v>
      </c>
      <c r="M559" t="s">
        <v>61</v>
      </c>
      <c r="N559" t="s">
        <v>58</v>
      </c>
      <c r="O559" t="s">
        <v>51</v>
      </c>
      <c r="P559">
        <v>5</v>
      </c>
    </row>
    <row r="560" spans="1:16" x14ac:dyDescent="0.25">
      <c r="A560" t="str">
        <f t="shared" si="24"/>
        <v>ORD0559</v>
      </c>
      <c r="B560" s="3">
        <v>46252</v>
      </c>
      <c r="C560" t="s">
        <v>87</v>
      </c>
      <c r="D560" t="s">
        <v>56</v>
      </c>
      <c r="E560" t="s">
        <v>32</v>
      </c>
      <c r="F560" t="s">
        <v>31</v>
      </c>
      <c r="G560">
        <v>2</v>
      </c>
      <c r="H560" s="10">
        <f>_xlfn.XLOOKUP(E560,Table18[Product],Table18[Unit_Price])</f>
        <v>130</v>
      </c>
      <c r="I560" s="10">
        <f>_xlfn.XLOOKUP(E560,Table18[Product],Table18[Cost_Price])</f>
        <v>65</v>
      </c>
      <c r="J560" s="10">
        <v>12</v>
      </c>
      <c r="K560" s="10">
        <f t="shared" si="25"/>
        <v>248</v>
      </c>
      <c r="L560" s="10">
        <f t="shared" si="26"/>
        <v>118</v>
      </c>
      <c r="M560" t="s">
        <v>49</v>
      </c>
      <c r="N560" t="s">
        <v>54</v>
      </c>
      <c r="O560" t="s">
        <v>51</v>
      </c>
      <c r="P560">
        <v>5</v>
      </c>
    </row>
    <row r="561" spans="1:16" x14ac:dyDescent="0.25">
      <c r="A561" t="str">
        <f t="shared" si="24"/>
        <v>ORD0560</v>
      </c>
      <c r="B561" s="3">
        <v>46133</v>
      </c>
      <c r="C561" t="s">
        <v>87</v>
      </c>
      <c r="D561" t="s">
        <v>66</v>
      </c>
      <c r="E561" t="s">
        <v>22</v>
      </c>
      <c r="F561" t="s">
        <v>23</v>
      </c>
      <c r="G561">
        <v>1</v>
      </c>
      <c r="H561" s="10">
        <f>_xlfn.XLOOKUP(E561,Table18[Product],Table18[Unit_Price])</f>
        <v>190</v>
      </c>
      <c r="I561" s="10">
        <f>_xlfn.XLOOKUP(E561,Table18[Product],Table18[Cost_Price])</f>
        <v>95</v>
      </c>
      <c r="J561" s="10">
        <v>19</v>
      </c>
      <c r="K561" s="10">
        <f t="shared" si="25"/>
        <v>171</v>
      </c>
      <c r="L561" s="10">
        <f t="shared" si="26"/>
        <v>76</v>
      </c>
      <c r="M561" t="s">
        <v>49</v>
      </c>
      <c r="N561" t="s">
        <v>58</v>
      </c>
      <c r="O561" t="s">
        <v>65</v>
      </c>
      <c r="P561">
        <v>5</v>
      </c>
    </row>
    <row r="562" spans="1:16" x14ac:dyDescent="0.25">
      <c r="A562" t="str">
        <f t="shared" si="24"/>
        <v>ORD0561</v>
      </c>
      <c r="B562" s="3">
        <v>46209</v>
      </c>
      <c r="C562" t="s">
        <v>94</v>
      </c>
      <c r="D562" t="s">
        <v>66</v>
      </c>
      <c r="E562" t="s">
        <v>33</v>
      </c>
      <c r="F562" t="s">
        <v>31</v>
      </c>
      <c r="G562">
        <v>2</v>
      </c>
      <c r="H562" s="10">
        <f>_xlfn.XLOOKUP(E562,Table18[Product],Table18[Unit_Price])</f>
        <v>150</v>
      </c>
      <c r="I562" s="10">
        <f>_xlfn.XLOOKUP(E562,Table18[Product],Table18[Cost_Price])</f>
        <v>75</v>
      </c>
      <c r="J562" s="10">
        <v>30</v>
      </c>
      <c r="K562" s="10">
        <f t="shared" si="25"/>
        <v>270</v>
      </c>
      <c r="L562" s="10">
        <f t="shared" si="26"/>
        <v>120</v>
      </c>
      <c r="M562" t="s">
        <v>64</v>
      </c>
      <c r="N562" t="s">
        <v>50</v>
      </c>
      <c r="O562" t="s">
        <v>73</v>
      </c>
      <c r="P562">
        <v>3</v>
      </c>
    </row>
    <row r="563" spans="1:16" x14ac:dyDescent="0.25">
      <c r="A563" t="str">
        <f t="shared" si="24"/>
        <v>ORD0562</v>
      </c>
      <c r="B563" s="3">
        <v>46109</v>
      </c>
      <c r="C563" t="s">
        <v>91</v>
      </c>
      <c r="D563" t="s">
        <v>68</v>
      </c>
      <c r="E563" t="s">
        <v>41</v>
      </c>
      <c r="F563" t="s">
        <v>40</v>
      </c>
      <c r="G563">
        <v>4</v>
      </c>
      <c r="H563" s="10">
        <f>_xlfn.XLOOKUP(E563,Table18[Product],Table18[Unit_Price])</f>
        <v>100</v>
      </c>
      <c r="I563" s="10">
        <f>_xlfn.XLOOKUP(E563,Table18[Product],Table18[Cost_Price])</f>
        <v>50</v>
      </c>
      <c r="J563" s="10">
        <v>2</v>
      </c>
      <c r="K563" s="10">
        <f t="shared" si="25"/>
        <v>398</v>
      </c>
      <c r="L563" s="10">
        <f t="shared" si="26"/>
        <v>198</v>
      </c>
      <c r="M563" t="s">
        <v>49</v>
      </c>
      <c r="N563" t="s">
        <v>50</v>
      </c>
      <c r="O563" t="s">
        <v>73</v>
      </c>
      <c r="P563">
        <v>4</v>
      </c>
    </row>
    <row r="564" spans="1:16" x14ac:dyDescent="0.25">
      <c r="A564" t="str">
        <f t="shared" si="24"/>
        <v>ORD0563</v>
      </c>
      <c r="B564" s="3">
        <v>46073</v>
      </c>
      <c r="C564" t="s">
        <v>88</v>
      </c>
      <c r="D564" t="s">
        <v>56</v>
      </c>
      <c r="E564" t="s">
        <v>39</v>
      </c>
      <c r="F564" t="s">
        <v>40</v>
      </c>
      <c r="G564">
        <v>3</v>
      </c>
      <c r="H564" s="10">
        <f>_xlfn.XLOOKUP(E564,Table18[Product],Table18[Unit_Price])</f>
        <v>240</v>
      </c>
      <c r="I564" s="10">
        <f>_xlfn.XLOOKUP(E564,Table18[Product],Table18[Cost_Price])</f>
        <v>120</v>
      </c>
      <c r="J564" s="10">
        <v>24</v>
      </c>
      <c r="K564" s="10">
        <f t="shared" si="25"/>
        <v>696</v>
      </c>
      <c r="L564" s="10">
        <f t="shared" si="26"/>
        <v>336</v>
      </c>
      <c r="M564" t="s">
        <v>53</v>
      </c>
      <c r="N564" t="s">
        <v>58</v>
      </c>
      <c r="O564" t="s">
        <v>65</v>
      </c>
      <c r="P564">
        <v>4</v>
      </c>
    </row>
    <row r="565" spans="1:16" x14ac:dyDescent="0.25">
      <c r="A565" t="str">
        <f t="shared" si="24"/>
        <v>ORD0564</v>
      </c>
      <c r="B565" s="3">
        <v>46062</v>
      </c>
      <c r="C565" t="s">
        <v>83</v>
      </c>
      <c r="D565" t="s">
        <v>70</v>
      </c>
      <c r="E565" t="s">
        <v>38</v>
      </c>
      <c r="F565" t="s">
        <v>35</v>
      </c>
      <c r="G565">
        <v>5</v>
      </c>
      <c r="H565" s="10">
        <f>_xlfn.XLOOKUP(E565,Table18[Product],Table18[Unit_Price])</f>
        <v>170</v>
      </c>
      <c r="I565" s="10">
        <f>_xlfn.XLOOKUP(E565,Table18[Product],Table18[Cost_Price])</f>
        <v>85</v>
      </c>
      <c r="J565" s="10">
        <v>48</v>
      </c>
      <c r="K565" s="10">
        <f t="shared" si="25"/>
        <v>802</v>
      </c>
      <c r="L565" s="10">
        <f t="shared" si="26"/>
        <v>377</v>
      </c>
      <c r="M565" t="s">
        <v>49</v>
      </c>
      <c r="N565" t="s">
        <v>50</v>
      </c>
      <c r="O565" t="s">
        <v>62</v>
      </c>
      <c r="P565">
        <v>3</v>
      </c>
    </row>
    <row r="566" spans="1:16" x14ac:dyDescent="0.25">
      <c r="A566" t="str">
        <f t="shared" si="24"/>
        <v>ORD0565</v>
      </c>
      <c r="B566" s="3">
        <v>46268</v>
      </c>
      <c r="C566" t="s">
        <v>84</v>
      </c>
      <c r="D566" t="s">
        <v>48</v>
      </c>
      <c r="E566" t="s">
        <v>25</v>
      </c>
      <c r="F566" t="s">
        <v>26</v>
      </c>
      <c r="G566">
        <v>3</v>
      </c>
      <c r="H566" s="10">
        <f>_xlfn.XLOOKUP(E566,Table18[Product],Table18[Unit_Price])</f>
        <v>170</v>
      </c>
      <c r="I566" s="10">
        <f>_xlfn.XLOOKUP(E566,Table18[Product],Table18[Cost_Price])</f>
        <v>85</v>
      </c>
      <c r="J566" s="10">
        <v>23</v>
      </c>
      <c r="K566" s="10">
        <f t="shared" si="25"/>
        <v>487</v>
      </c>
      <c r="L566" s="10">
        <f t="shared" si="26"/>
        <v>232</v>
      </c>
      <c r="M566" t="s">
        <v>57</v>
      </c>
      <c r="N566" t="s">
        <v>54</v>
      </c>
      <c r="O566" t="s">
        <v>69</v>
      </c>
      <c r="P566">
        <v>5</v>
      </c>
    </row>
    <row r="567" spans="1:16" x14ac:dyDescent="0.25">
      <c r="A567" t="str">
        <f t="shared" si="24"/>
        <v>ORD0566</v>
      </c>
      <c r="B567" s="3">
        <v>46274</v>
      </c>
      <c r="C567" t="s">
        <v>101</v>
      </c>
      <c r="D567" t="s">
        <v>74</v>
      </c>
      <c r="E567" t="s">
        <v>30</v>
      </c>
      <c r="F567" t="s">
        <v>31</v>
      </c>
      <c r="G567">
        <v>3</v>
      </c>
      <c r="H567" s="10">
        <f>_xlfn.XLOOKUP(E567,Table18[Product],Table18[Unit_Price])</f>
        <v>110</v>
      </c>
      <c r="I567" s="10">
        <f>_xlfn.XLOOKUP(E567,Table18[Product],Table18[Cost_Price])</f>
        <v>55</v>
      </c>
      <c r="J567" s="10">
        <v>13</v>
      </c>
      <c r="K567" s="10">
        <f t="shared" si="25"/>
        <v>317</v>
      </c>
      <c r="L567" s="10">
        <f t="shared" si="26"/>
        <v>152</v>
      </c>
      <c r="M567" t="s">
        <v>64</v>
      </c>
      <c r="N567" t="s">
        <v>58</v>
      </c>
      <c r="O567" t="s">
        <v>59</v>
      </c>
      <c r="P567">
        <v>5</v>
      </c>
    </row>
    <row r="568" spans="1:16" x14ac:dyDescent="0.25">
      <c r="A568" t="str">
        <f t="shared" si="24"/>
        <v>ORD0567</v>
      </c>
      <c r="B568" s="3">
        <v>46240</v>
      </c>
      <c r="C568" t="s">
        <v>95</v>
      </c>
      <c r="D568" t="s">
        <v>70</v>
      </c>
      <c r="E568" t="s">
        <v>22</v>
      </c>
      <c r="F568" t="s">
        <v>23</v>
      </c>
      <c r="G568">
        <v>1</v>
      </c>
      <c r="H568" s="10">
        <f>_xlfn.XLOOKUP(E568,Table18[Product],Table18[Unit_Price])</f>
        <v>190</v>
      </c>
      <c r="I568" s="10">
        <f>_xlfn.XLOOKUP(E568,Table18[Product],Table18[Cost_Price])</f>
        <v>95</v>
      </c>
      <c r="J568" s="10">
        <v>14</v>
      </c>
      <c r="K568" s="10">
        <f t="shared" si="25"/>
        <v>176</v>
      </c>
      <c r="L568" s="10">
        <f t="shared" si="26"/>
        <v>81</v>
      </c>
      <c r="M568" t="s">
        <v>57</v>
      </c>
      <c r="N568" t="s">
        <v>54</v>
      </c>
      <c r="O568" t="s">
        <v>71</v>
      </c>
      <c r="P568">
        <v>3</v>
      </c>
    </row>
    <row r="569" spans="1:16" x14ac:dyDescent="0.25">
      <c r="A569" t="str">
        <f t="shared" si="24"/>
        <v>ORD0568</v>
      </c>
      <c r="B569" s="3">
        <v>46105</v>
      </c>
      <c r="C569" t="s">
        <v>79</v>
      </c>
      <c r="D569" t="s">
        <v>63</v>
      </c>
      <c r="E569" t="s">
        <v>20</v>
      </c>
      <c r="F569" t="s">
        <v>17</v>
      </c>
      <c r="G569">
        <v>4</v>
      </c>
      <c r="H569" s="10">
        <f>_xlfn.XLOOKUP(E569,Table18[Product],Table18[Unit_Price])</f>
        <v>150</v>
      </c>
      <c r="I569" s="10">
        <f>_xlfn.XLOOKUP(E569,Table18[Product],Table18[Cost_Price])</f>
        <v>75</v>
      </c>
      <c r="J569" s="10">
        <v>33</v>
      </c>
      <c r="K569" s="10">
        <f t="shared" si="25"/>
        <v>567</v>
      </c>
      <c r="L569" s="10">
        <f t="shared" si="26"/>
        <v>267</v>
      </c>
      <c r="M569" t="s">
        <v>64</v>
      </c>
      <c r="N569" t="s">
        <v>58</v>
      </c>
      <c r="O569" t="s">
        <v>59</v>
      </c>
      <c r="P569">
        <v>5</v>
      </c>
    </row>
    <row r="570" spans="1:16" x14ac:dyDescent="0.25">
      <c r="A570" t="str">
        <f t="shared" si="24"/>
        <v>ORD0569</v>
      </c>
      <c r="B570" s="3">
        <v>46093</v>
      </c>
      <c r="C570" t="s">
        <v>101</v>
      </c>
      <c r="D570" t="s">
        <v>70</v>
      </c>
      <c r="E570" t="s">
        <v>41</v>
      </c>
      <c r="F570" t="s">
        <v>40</v>
      </c>
      <c r="G570">
        <v>5</v>
      </c>
      <c r="H570" s="10">
        <f>_xlfn.XLOOKUP(E570,Table18[Product],Table18[Unit_Price])</f>
        <v>100</v>
      </c>
      <c r="I570" s="10">
        <f>_xlfn.XLOOKUP(E570,Table18[Product],Table18[Cost_Price])</f>
        <v>50</v>
      </c>
      <c r="J570" s="10">
        <v>27</v>
      </c>
      <c r="K570" s="10">
        <f t="shared" si="25"/>
        <v>473</v>
      </c>
      <c r="L570" s="10">
        <f t="shared" si="26"/>
        <v>223</v>
      </c>
      <c r="M570" t="s">
        <v>64</v>
      </c>
      <c r="N570" t="s">
        <v>54</v>
      </c>
      <c r="O570" t="s">
        <v>67</v>
      </c>
      <c r="P570">
        <v>4</v>
      </c>
    </row>
    <row r="571" spans="1:16" x14ac:dyDescent="0.25">
      <c r="A571" t="str">
        <f t="shared" si="24"/>
        <v>ORD0570</v>
      </c>
      <c r="B571" s="3">
        <v>46082</v>
      </c>
      <c r="C571" t="s">
        <v>99</v>
      </c>
      <c r="D571" t="s">
        <v>72</v>
      </c>
      <c r="E571" t="s">
        <v>39</v>
      </c>
      <c r="F571" t="s">
        <v>40</v>
      </c>
      <c r="G571">
        <v>5</v>
      </c>
      <c r="H571" s="10">
        <f>_xlfn.XLOOKUP(E571,Table18[Product],Table18[Unit_Price])</f>
        <v>240</v>
      </c>
      <c r="I571" s="10">
        <f>_xlfn.XLOOKUP(E571,Table18[Product],Table18[Cost_Price])</f>
        <v>120</v>
      </c>
      <c r="J571" s="10">
        <v>48</v>
      </c>
      <c r="K571" s="10">
        <f t="shared" si="25"/>
        <v>1152</v>
      </c>
      <c r="L571" s="10">
        <f t="shared" si="26"/>
        <v>552</v>
      </c>
      <c r="M571" t="s">
        <v>53</v>
      </c>
      <c r="N571" t="s">
        <v>58</v>
      </c>
      <c r="O571" t="s">
        <v>62</v>
      </c>
      <c r="P571">
        <v>3</v>
      </c>
    </row>
    <row r="572" spans="1:16" x14ac:dyDescent="0.25">
      <c r="A572" t="str">
        <f t="shared" si="24"/>
        <v>ORD0571</v>
      </c>
      <c r="B572" s="3">
        <v>46230</v>
      </c>
      <c r="C572" t="s">
        <v>94</v>
      </c>
      <c r="D572" t="s">
        <v>68</v>
      </c>
      <c r="E572" t="s">
        <v>27</v>
      </c>
      <c r="F572" t="s">
        <v>28</v>
      </c>
      <c r="G572">
        <v>5</v>
      </c>
      <c r="H572" s="10">
        <f>_xlfn.XLOOKUP(E572,Table18[Product],Table18[Unit_Price])</f>
        <v>140</v>
      </c>
      <c r="I572" s="10">
        <f>_xlfn.XLOOKUP(E572,Table18[Product],Table18[Cost_Price])</f>
        <v>70</v>
      </c>
      <c r="J572" s="10">
        <v>40</v>
      </c>
      <c r="K572" s="10">
        <f t="shared" si="25"/>
        <v>660</v>
      </c>
      <c r="L572" s="10">
        <f t="shared" si="26"/>
        <v>310</v>
      </c>
      <c r="M572" t="s">
        <v>61</v>
      </c>
      <c r="N572" t="s">
        <v>50</v>
      </c>
      <c r="O572" t="s">
        <v>73</v>
      </c>
      <c r="P572">
        <v>4</v>
      </c>
    </row>
    <row r="573" spans="1:16" x14ac:dyDescent="0.25">
      <c r="A573" t="str">
        <f t="shared" si="24"/>
        <v>ORD0572</v>
      </c>
      <c r="B573" s="3">
        <v>46066</v>
      </c>
      <c r="C573" t="s">
        <v>96</v>
      </c>
      <c r="D573" t="s">
        <v>48</v>
      </c>
      <c r="E573" t="s">
        <v>16</v>
      </c>
      <c r="F573" t="s">
        <v>17</v>
      </c>
      <c r="G573">
        <v>4</v>
      </c>
      <c r="H573" s="10">
        <f>_xlfn.XLOOKUP(E573,Table18[Product],Table18[Unit_Price])</f>
        <v>120</v>
      </c>
      <c r="I573" s="10">
        <f>_xlfn.XLOOKUP(E573,Table18[Product],Table18[Cost_Price])</f>
        <v>60</v>
      </c>
      <c r="J573" s="10">
        <v>36</v>
      </c>
      <c r="K573" s="10">
        <f t="shared" si="25"/>
        <v>444</v>
      </c>
      <c r="L573" s="10">
        <f t="shared" si="26"/>
        <v>204</v>
      </c>
      <c r="M573" t="s">
        <v>49</v>
      </c>
      <c r="N573" t="s">
        <v>58</v>
      </c>
      <c r="O573" t="s">
        <v>73</v>
      </c>
      <c r="P573">
        <v>5</v>
      </c>
    </row>
    <row r="574" spans="1:16" x14ac:dyDescent="0.25">
      <c r="A574" t="str">
        <f t="shared" si="24"/>
        <v>ORD0573</v>
      </c>
      <c r="B574" s="3">
        <v>46150</v>
      </c>
      <c r="C574" t="s">
        <v>81</v>
      </c>
      <c r="D574" t="s">
        <v>70</v>
      </c>
      <c r="E574" t="s">
        <v>16</v>
      </c>
      <c r="F574" t="s">
        <v>17</v>
      </c>
      <c r="G574">
        <v>4</v>
      </c>
      <c r="H574" s="10">
        <f>_xlfn.XLOOKUP(E574,Table18[Product],Table18[Unit_Price])</f>
        <v>120</v>
      </c>
      <c r="I574" s="10">
        <f>_xlfn.XLOOKUP(E574,Table18[Product],Table18[Cost_Price])</f>
        <v>60</v>
      </c>
      <c r="J574" s="10">
        <v>30</v>
      </c>
      <c r="K574" s="10">
        <f t="shared" si="25"/>
        <v>450</v>
      </c>
      <c r="L574" s="10">
        <f t="shared" si="26"/>
        <v>210</v>
      </c>
      <c r="M574" t="s">
        <v>49</v>
      </c>
      <c r="N574" t="s">
        <v>54</v>
      </c>
      <c r="O574" t="s">
        <v>65</v>
      </c>
      <c r="P574">
        <v>4</v>
      </c>
    </row>
    <row r="575" spans="1:16" x14ac:dyDescent="0.25">
      <c r="A575" t="str">
        <f t="shared" si="24"/>
        <v>ORD0574</v>
      </c>
      <c r="B575" s="3">
        <v>46079</v>
      </c>
      <c r="C575" t="s">
        <v>84</v>
      </c>
      <c r="D575" t="s">
        <v>63</v>
      </c>
      <c r="E575" t="s">
        <v>27</v>
      </c>
      <c r="F575" t="s">
        <v>28</v>
      </c>
      <c r="G575">
        <v>2</v>
      </c>
      <c r="H575" s="10">
        <f>_xlfn.XLOOKUP(E575,Table18[Product],Table18[Unit_Price])</f>
        <v>140</v>
      </c>
      <c r="I575" s="10">
        <f>_xlfn.XLOOKUP(E575,Table18[Product],Table18[Cost_Price])</f>
        <v>70</v>
      </c>
      <c r="J575" s="10">
        <v>37</v>
      </c>
      <c r="K575" s="10">
        <f t="shared" si="25"/>
        <v>243</v>
      </c>
      <c r="L575" s="10">
        <f t="shared" si="26"/>
        <v>103</v>
      </c>
      <c r="M575" t="s">
        <v>57</v>
      </c>
      <c r="N575" t="s">
        <v>54</v>
      </c>
      <c r="O575" t="s">
        <v>75</v>
      </c>
      <c r="P575">
        <v>5</v>
      </c>
    </row>
    <row r="576" spans="1:16" x14ac:dyDescent="0.25">
      <c r="A576" t="str">
        <f t="shared" si="24"/>
        <v>ORD0575</v>
      </c>
      <c r="B576" s="3">
        <v>46336</v>
      </c>
      <c r="C576" t="s">
        <v>76</v>
      </c>
      <c r="D576" t="s">
        <v>63</v>
      </c>
      <c r="E576" t="s">
        <v>38</v>
      </c>
      <c r="F576" t="s">
        <v>35</v>
      </c>
      <c r="G576">
        <v>3</v>
      </c>
      <c r="H576" s="10">
        <f>_xlfn.XLOOKUP(E576,Table18[Product],Table18[Unit_Price])</f>
        <v>170</v>
      </c>
      <c r="I576" s="10">
        <f>_xlfn.XLOOKUP(E576,Table18[Product],Table18[Cost_Price])</f>
        <v>85</v>
      </c>
      <c r="J576" s="10">
        <v>50</v>
      </c>
      <c r="K576" s="10">
        <f t="shared" si="25"/>
        <v>460</v>
      </c>
      <c r="L576" s="10">
        <f t="shared" si="26"/>
        <v>205</v>
      </c>
      <c r="M576" t="s">
        <v>64</v>
      </c>
      <c r="N576" t="s">
        <v>54</v>
      </c>
      <c r="O576" t="s">
        <v>71</v>
      </c>
      <c r="P576">
        <v>5</v>
      </c>
    </row>
    <row r="577" spans="1:16" x14ac:dyDescent="0.25">
      <c r="A577" t="str">
        <f t="shared" si="24"/>
        <v>ORD0576</v>
      </c>
      <c r="B577" s="3">
        <v>46029</v>
      </c>
      <c r="C577" t="s">
        <v>83</v>
      </c>
      <c r="D577" t="s">
        <v>70</v>
      </c>
      <c r="E577" t="s">
        <v>24</v>
      </c>
      <c r="F577" t="s">
        <v>23</v>
      </c>
      <c r="G577">
        <v>1</v>
      </c>
      <c r="H577" s="10">
        <f>_xlfn.XLOOKUP(E577,Table18[Product],Table18[Unit_Price])</f>
        <v>210</v>
      </c>
      <c r="I577" s="10">
        <f>_xlfn.XLOOKUP(E577,Table18[Product],Table18[Cost_Price])</f>
        <v>105</v>
      </c>
      <c r="J577" s="10">
        <v>20</v>
      </c>
      <c r="K577" s="10">
        <f t="shared" si="25"/>
        <v>190</v>
      </c>
      <c r="L577" s="10">
        <f t="shared" si="26"/>
        <v>85</v>
      </c>
      <c r="M577" t="s">
        <v>64</v>
      </c>
      <c r="N577" t="s">
        <v>58</v>
      </c>
      <c r="O577" t="s">
        <v>67</v>
      </c>
      <c r="P577">
        <v>4</v>
      </c>
    </row>
    <row r="578" spans="1:16" x14ac:dyDescent="0.25">
      <c r="A578" t="str">
        <f t="shared" si="24"/>
        <v>ORD0577</v>
      </c>
      <c r="B578" s="3">
        <v>46369</v>
      </c>
      <c r="C578" t="s">
        <v>84</v>
      </c>
      <c r="D578" t="s">
        <v>72</v>
      </c>
      <c r="E578" t="s">
        <v>19</v>
      </c>
      <c r="F578" t="s">
        <v>17</v>
      </c>
      <c r="G578">
        <v>3</v>
      </c>
      <c r="H578" s="10">
        <f>_xlfn.XLOOKUP(E578,Table18[Product],Table18[Unit_Price])</f>
        <v>200</v>
      </c>
      <c r="I578" s="10">
        <f>_xlfn.XLOOKUP(E578,Table18[Product],Table18[Cost_Price])</f>
        <v>100</v>
      </c>
      <c r="J578" s="10">
        <v>0</v>
      </c>
      <c r="K578" s="10">
        <f t="shared" si="25"/>
        <v>600</v>
      </c>
      <c r="L578" s="10">
        <f t="shared" si="26"/>
        <v>300</v>
      </c>
      <c r="M578" t="s">
        <v>53</v>
      </c>
      <c r="N578" t="s">
        <v>50</v>
      </c>
      <c r="O578" t="s">
        <v>67</v>
      </c>
      <c r="P578">
        <v>3</v>
      </c>
    </row>
    <row r="579" spans="1:16" x14ac:dyDescent="0.25">
      <c r="A579" t="str">
        <f t="shared" ref="A579:A642" si="27">"ORD"&amp;TEXT(ROW()-1,"0000")</f>
        <v>ORD0578</v>
      </c>
      <c r="B579" s="3">
        <v>46135</v>
      </c>
      <c r="C579" t="s">
        <v>85</v>
      </c>
      <c r="D579" t="s">
        <v>68</v>
      </c>
      <c r="E579" t="s">
        <v>33</v>
      </c>
      <c r="F579" t="s">
        <v>31</v>
      </c>
      <c r="G579">
        <v>5</v>
      </c>
      <c r="H579" s="10">
        <f>_xlfn.XLOOKUP(E579,Table18[Product],Table18[Unit_Price])</f>
        <v>150</v>
      </c>
      <c r="I579" s="10">
        <f>_xlfn.XLOOKUP(E579,Table18[Product],Table18[Cost_Price])</f>
        <v>75</v>
      </c>
      <c r="J579" s="10">
        <v>19</v>
      </c>
      <c r="K579" s="10">
        <f t="shared" ref="K579:K642" si="28">(G579*H579)-J579</f>
        <v>731</v>
      </c>
      <c r="L579" s="10">
        <f t="shared" ref="L579:L642" si="29">K579-(G579*I579)</f>
        <v>356</v>
      </c>
      <c r="M579" t="s">
        <v>57</v>
      </c>
      <c r="N579" t="s">
        <v>50</v>
      </c>
      <c r="O579" t="s">
        <v>62</v>
      </c>
      <c r="P579">
        <v>5</v>
      </c>
    </row>
    <row r="580" spans="1:16" x14ac:dyDescent="0.25">
      <c r="A580" t="str">
        <f t="shared" si="27"/>
        <v>ORD0579</v>
      </c>
      <c r="B580" s="3">
        <v>46276</v>
      </c>
      <c r="C580" t="s">
        <v>77</v>
      </c>
      <c r="D580" t="s">
        <v>68</v>
      </c>
      <c r="E580" t="s">
        <v>30</v>
      </c>
      <c r="F580" t="s">
        <v>31</v>
      </c>
      <c r="G580">
        <v>3</v>
      </c>
      <c r="H580" s="10">
        <f>_xlfn.XLOOKUP(E580,Table18[Product],Table18[Unit_Price])</f>
        <v>110</v>
      </c>
      <c r="I580" s="10">
        <f>_xlfn.XLOOKUP(E580,Table18[Product],Table18[Cost_Price])</f>
        <v>55</v>
      </c>
      <c r="J580" s="10">
        <v>15</v>
      </c>
      <c r="K580" s="10">
        <f t="shared" si="28"/>
        <v>315</v>
      </c>
      <c r="L580" s="10">
        <f t="shared" si="29"/>
        <v>150</v>
      </c>
      <c r="M580" t="s">
        <v>57</v>
      </c>
      <c r="N580" t="s">
        <v>58</v>
      </c>
      <c r="O580" t="s">
        <v>75</v>
      </c>
      <c r="P580">
        <v>3</v>
      </c>
    </row>
    <row r="581" spans="1:16" x14ac:dyDescent="0.25">
      <c r="A581" t="str">
        <f t="shared" si="27"/>
        <v>ORD0580</v>
      </c>
      <c r="B581" s="3">
        <v>46087</v>
      </c>
      <c r="C581" t="s">
        <v>99</v>
      </c>
      <c r="D581" t="s">
        <v>52</v>
      </c>
      <c r="E581" t="s">
        <v>33</v>
      </c>
      <c r="F581" t="s">
        <v>31</v>
      </c>
      <c r="G581">
        <v>1</v>
      </c>
      <c r="H581" s="10">
        <f>_xlfn.XLOOKUP(E581,Table18[Product],Table18[Unit_Price])</f>
        <v>150</v>
      </c>
      <c r="I581" s="10">
        <f>_xlfn.XLOOKUP(E581,Table18[Product],Table18[Cost_Price])</f>
        <v>75</v>
      </c>
      <c r="J581" s="10">
        <v>39</v>
      </c>
      <c r="K581" s="10">
        <f t="shared" si="28"/>
        <v>111</v>
      </c>
      <c r="L581" s="10">
        <f t="shared" si="29"/>
        <v>36</v>
      </c>
      <c r="M581" t="s">
        <v>53</v>
      </c>
      <c r="N581" t="s">
        <v>58</v>
      </c>
      <c r="O581" t="s">
        <v>65</v>
      </c>
      <c r="P581">
        <v>4</v>
      </c>
    </row>
    <row r="582" spans="1:16" x14ac:dyDescent="0.25">
      <c r="A582" t="str">
        <f t="shared" si="27"/>
        <v>ORD0581</v>
      </c>
      <c r="B582" s="3">
        <v>46088</v>
      </c>
      <c r="C582" t="s">
        <v>95</v>
      </c>
      <c r="D582" t="s">
        <v>56</v>
      </c>
      <c r="E582" t="s">
        <v>24</v>
      </c>
      <c r="F582" t="s">
        <v>23</v>
      </c>
      <c r="G582">
        <v>4</v>
      </c>
      <c r="H582" s="10">
        <f>_xlfn.XLOOKUP(E582,Table18[Product],Table18[Unit_Price])</f>
        <v>210</v>
      </c>
      <c r="I582" s="10">
        <f>_xlfn.XLOOKUP(E582,Table18[Product],Table18[Cost_Price])</f>
        <v>105</v>
      </c>
      <c r="J582" s="10">
        <v>27</v>
      </c>
      <c r="K582" s="10">
        <f t="shared" si="28"/>
        <v>813</v>
      </c>
      <c r="L582" s="10">
        <f t="shared" si="29"/>
        <v>393</v>
      </c>
      <c r="M582" t="s">
        <v>64</v>
      </c>
      <c r="N582" t="s">
        <v>54</v>
      </c>
      <c r="O582" t="s">
        <v>65</v>
      </c>
      <c r="P582">
        <v>3</v>
      </c>
    </row>
    <row r="583" spans="1:16" x14ac:dyDescent="0.25">
      <c r="A583" t="str">
        <f t="shared" si="27"/>
        <v>ORD0582</v>
      </c>
      <c r="B583" s="3">
        <v>46123</v>
      </c>
      <c r="C583" t="s">
        <v>83</v>
      </c>
      <c r="D583" t="s">
        <v>56</v>
      </c>
      <c r="E583" t="s">
        <v>39</v>
      </c>
      <c r="F583" t="s">
        <v>40</v>
      </c>
      <c r="G583">
        <v>5</v>
      </c>
      <c r="H583" s="10">
        <f>_xlfn.XLOOKUP(E583,Table18[Product],Table18[Unit_Price])</f>
        <v>240</v>
      </c>
      <c r="I583" s="10">
        <f>_xlfn.XLOOKUP(E583,Table18[Product],Table18[Cost_Price])</f>
        <v>120</v>
      </c>
      <c r="J583" s="10">
        <v>6</v>
      </c>
      <c r="K583" s="10">
        <f t="shared" si="28"/>
        <v>1194</v>
      </c>
      <c r="L583" s="10">
        <f t="shared" si="29"/>
        <v>594</v>
      </c>
      <c r="M583" t="s">
        <v>57</v>
      </c>
      <c r="N583" t="s">
        <v>50</v>
      </c>
      <c r="O583" t="s">
        <v>73</v>
      </c>
      <c r="P583">
        <v>4</v>
      </c>
    </row>
    <row r="584" spans="1:16" x14ac:dyDescent="0.25">
      <c r="A584" t="str">
        <f t="shared" si="27"/>
        <v>ORD0583</v>
      </c>
      <c r="B584" s="3">
        <v>46278</v>
      </c>
      <c r="C584" t="s">
        <v>103</v>
      </c>
      <c r="D584" t="s">
        <v>72</v>
      </c>
      <c r="E584" t="s">
        <v>19</v>
      </c>
      <c r="F584" t="s">
        <v>17</v>
      </c>
      <c r="G584">
        <v>1</v>
      </c>
      <c r="H584" s="10">
        <f>_xlfn.XLOOKUP(E584,Table18[Product],Table18[Unit_Price])</f>
        <v>200</v>
      </c>
      <c r="I584" s="10">
        <f>_xlfn.XLOOKUP(E584,Table18[Product],Table18[Cost_Price])</f>
        <v>100</v>
      </c>
      <c r="J584" s="10">
        <v>46</v>
      </c>
      <c r="K584" s="10">
        <f t="shared" si="28"/>
        <v>154</v>
      </c>
      <c r="L584" s="10">
        <f t="shared" si="29"/>
        <v>54</v>
      </c>
      <c r="M584" t="s">
        <v>61</v>
      </c>
      <c r="N584" t="s">
        <v>58</v>
      </c>
      <c r="O584" t="s">
        <v>69</v>
      </c>
      <c r="P584">
        <v>4</v>
      </c>
    </row>
    <row r="585" spans="1:16" x14ac:dyDescent="0.25">
      <c r="A585" t="str">
        <f t="shared" si="27"/>
        <v>ORD0584</v>
      </c>
      <c r="B585" s="3">
        <v>46273</v>
      </c>
      <c r="C585" t="s">
        <v>100</v>
      </c>
      <c r="D585" t="s">
        <v>60</v>
      </c>
      <c r="E585" t="s">
        <v>25</v>
      </c>
      <c r="F585" t="s">
        <v>26</v>
      </c>
      <c r="G585">
        <v>4</v>
      </c>
      <c r="H585" s="10">
        <f>_xlfn.XLOOKUP(E585,Table18[Product],Table18[Unit_Price])</f>
        <v>170</v>
      </c>
      <c r="I585" s="10">
        <f>_xlfn.XLOOKUP(E585,Table18[Product],Table18[Cost_Price])</f>
        <v>85</v>
      </c>
      <c r="J585" s="10">
        <v>39</v>
      </c>
      <c r="K585" s="10">
        <f t="shared" si="28"/>
        <v>641</v>
      </c>
      <c r="L585" s="10">
        <f t="shared" si="29"/>
        <v>301</v>
      </c>
      <c r="M585" t="s">
        <v>64</v>
      </c>
      <c r="N585" t="s">
        <v>54</v>
      </c>
      <c r="O585" t="s">
        <v>62</v>
      </c>
      <c r="P585">
        <v>5</v>
      </c>
    </row>
    <row r="586" spans="1:16" x14ac:dyDescent="0.25">
      <c r="A586" t="str">
        <f t="shared" si="27"/>
        <v>ORD0585</v>
      </c>
      <c r="B586" s="3">
        <v>46062</v>
      </c>
      <c r="C586" t="s">
        <v>104</v>
      </c>
      <c r="D586" t="s">
        <v>70</v>
      </c>
      <c r="E586" t="s">
        <v>34</v>
      </c>
      <c r="F586" t="s">
        <v>35</v>
      </c>
      <c r="G586">
        <v>4</v>
      </c>
      <c r="H586" s="10">
        <f>_xlfn.XLOOKUP(E586,Table18[Product],Table18[Unit_Price])</f>
        <v>180</v>
      </c>
      <c r="I586" s="10">
        <f>_xlfn.XLOOKUP(E586,Table18[Product],Table18[Cost_Price])</f>
        <v>90</v>
      </c>
      <c r="J586" s="10">
        <v>24</v>
      </c>
      <c r="K586" s="10">
        <f t="shared" si="28"/>
        <v>696</v>
      </c>
      <c r="L586" s="10">
        <f t="shared" si="29"/>
        <v>336</v>
      </c>
      <c r="M586" t="s">
        <v>49</v>
      </c>
      <c r="N586" t="s">
        <v>54</v>
      </c>
      <c r="O586" t="s">
        <v>67</v>
      </c>
      <c r="P586">
        <v>4</v>
      </c>
    </row>
    <row r="587" spans="1:16" x14ac:dyDescent="0.25">
      <c r="A587" t="str">
        <f t="shared" si="27"/>
        <v>ORD0586</v>
      </c>
      <c r="B587" s="3">
        <v>46097</v>
      </c>
      <c r="C587" t="s">
        <v>84</v>
      </c>
      <c r="D587" t="s">
        <v>48</v>
      </c>
      <c r="E587" t="s">
        <v>19</v>
      </c>
      <c r="F587" t="s">
        <v>17</v>
      </c>
      <c r="G587">
        <v>4</v>
      </c>
      <c r="H587" s="10">
        <f>_xlfn.XLOOKUP(E587,Table18[Product],Table18[Unit_Price])</f>
        <v>200</v>
      </c>
      <c r="I587" s="10">
        <f>_xlfn.XLOOKUP(E587,Table18[Product],Table18[Cost_Price])</f>
        <v>100</v>
      </c>
      <c r="J587" s="10">
        <v>8</v>
      </c>
      <c r="K587" s="10">
        <f t="shared" si="28"/>
        <v>792</v>
      </c>
      <c r="L587" s="10">
        <f t="shared" si="29"/>
        <v>392</v>
      </c>
      <c r="M587" t="s">
        <v>57</v>
      </c>
      <c r="N587" t="s">
        <v>50</v>
      </c>
      <c r="O587" t="s">
        <v>65</v>
      </c>
      <c r="P587">
        <v>4</v>
      </c>
    </row>
    <row r="588" spans="1:16" x14ac:dyDescent="0.25">
      <c r="A588" t="str">
        <f t="shared" si="27"/>
        <v>ORD0587</v>
      </c>
      <c r="B588" s="3">
        <v>46335</v>
      </c>
      <c r="C588" t="s">
        <v>96</v>
      </c>
      <c r="D588" t="s">
        <v>48</v>
      </c>
      <c r="E588" t="s">
        <v>27</v>
      </c>
      <c r="F588" t="s">
        <v>28</v>
      </c>
      <c r="G588">
        <v>4</v>
      </c>
      <c r="H588" s="10">
        <f>_xlfn.XLOOKUP(E588,Table18[Product],Table18[Unit_Price])</f>
        <v>140</v>
      </c>
      <c r="I588" s="10">
        <f>_xlfn.XLOOKUP(E588,Table18[Product],Table18[Cost_Price])</f>
        <v>70</v>
      </c>
      <c r="J588" s="10">
        <v>4</v>
      </c>
      <c r="K588" s="10">
        <f t="shared" si="28"/>
        <v>556</v>
      </c>
      <c r="L588" s="10">
        <f t="shared" si="29"/>
        <v>276</v>
      </c>
      <c r="M588" t="s">
        <v>57</v>
      </c>
      <c r="N588" t="s">
        <v>58</v>
      </c>
      <c r="O588" t="s">
        <v>51</v>
      </c>
      <c r="P588">
        <v>3</v>
      </c>
    </row>
    <row r="589" spans="1:16" x14ac:dyDescent="0.25">
      <c r="A589" t="str">
        <f t="shared" si="27"/>
        <v>ORD0588</v>
      </c>
      <c r="B589" s="3">
        <v>46082</v>
      </c>
      <c r="C589" t="s">
        <v>93</v>
      </c>
      <c r="D589" t="s">
        <v>68</v>
      </c>
      <c r="E589" t="s">
        <v>25</v>
      </c>
      <c r="F589" t="s">
        <v>26</v>
      </c>
      <c r="G589">
        <v>5</v>
      </c>
      <c r="H589" s="10">
        <f>_xlfn.XLOOKUP(E589,Table18[Product],Table18[Unit_Price])</f>
        <v>170</v>
      </c>
      <c r="I589" s="10">
        <f>_xlfn.XLOOKUP(E589,Table18[Product],Table18[Cost_Price])</f>
        <v>85</v>
      </c>
      <c r="J589" s="10">
        <v>37</v>
      </c>
      <c r="K589" s="10">
        <f t="shared" si="28"/>
        <v>813</v>
      </c>
      <c r="L589" s="10">
        <f t="shared" si="29"/>
        <v>388</v>
      </c>
      <c r="M589" t="s">
        <v>64</v>
      </c>
      <c r="N589" t="s">
        <v>58</v>
      </c>
      <c r="O589" t="s">
        <v>71</v>
      </c>
      <c r="P589">
        <v>3</v>
      </c>
    </row>
    <row r="590" spans="1:16" x14ac:dyDescent="0.25">
      <c r="A590" t="str">
        <f t="shared" si="27"/>
        <v>ORD0589</v>
      </c>
      <c r="B590" s="3">
        <v>46260</v>
      </c>
      <c r="C590" t="s">
        <v>94</v>
      </c>
      <c r="D590" t="s">
        <v>74</v>
      </c>
      <c r="E590" t="s">
        <v>27</v>
      </c>
      <c r="F590" t="s">
        <v>28</v>
      </c>
      <c r="G590">
        <v>1</v>
      </c>
      <c r="H590" s="10">
        <f>_xlfn.XLOOKUP(E590,Table18[Product],Table18[Unit_Price])</f>
        <v>140</v>
      </c>
      <c r="I590" s="10">
        <f>_xlfn.XLOOKUP(E590,Table18[Product],Table18[Cost_Price])</f>
        <v>70</v>
      </c>
      <c r="J590" s="10">
        <v>0</v>
      </c>
      <c r="K590" s="10">
        <f t="shared" si="28"/>
        <v>140</v>
      </c>
      <c r="L590" s="10">
        <f t="shared" si="29"/>
        <v>70</v>
      </c>
      <c r="M590" t="s">
        <v>53</v>
      </c>
      <c r="N590" t="s">
        <v>54</v>
      </c>
      <c r="O590" t="s">
        <v>51</v>
      </c>
      <c r="P590">
        <v>4</v>
      </c>
    </row>
    <row r="591" spans="1:16" x14ac:dyDescent="0.25">
      <c r="A591" t="str">
        <f t="shared" si="27"/>
        <v>ORD0590</v>
      </c>
      <c r="B591" s="3">
        <v>46303</v>
      </c>
      <c r="C591" t="s">
        <v>96</v>
      </c>
      <c r="D591" t="s">
        <v>74</v>
      </c>
      <c r="E591" t="s">
        <v>22</v>
      </c>
      <c r="F591" t="s">
        <v>23</v>
      </c>
      <c r="G591">
        <v>2</v>
      </c>
      <c r="H591" s="10">
        <f>_xlfn.XLOOKUP(E591,Table18[Product],Table18[Unit_Price])</f>
        <v>190</v>
      </c>
      <c r="I591" s="10">
        <f>_xlfn.XLOOKUP(E591,Table18[Product],Table18[Cost_Price])</f>
        <v>95</v>
      </c>
      <c r="J591" s="10">
        <v>5</v>
      </c>
      <c r="K591" s="10">
        <f t="shared" si="28"/>
        <v>375</v>
      </c>
      <c r="L591" s="10">
        <f t="shared" si="29"/>
        <v>185</v>
      </c>
      <c r="M591" t="s">
        <v>49</v>
      </c>
      <c r="N591" t="s">
        <v>50</v>
      </c>
      <c r="O591" t="s">
        <v>73</v>
      </c>
      <c r="P591">
        <v>3</v>
      </c>
    </row>
    <row r="592" spans="1:16" x14ac:dyDescent="0.25">
      <c r="A592" t="str">
        <f t="shared" si="27"/>
        <v>ORD0591</v>
      </c>
      <c r="B592" s="3">
        <v>46222</v>
      </c>
      <c r="C592" t="s">
        <v>91</v>
      </c>
      <c r="D592" t="s">
        <v>72</v>
      </c>
      <c r="E592" t="s">
        <v>41</v>
      </c>
      <c r="F592" t="s">
        <v>40</v>
      </c>
      <c r="G592">
        <v>4</v>
      </c>
      <c r="H592" s="10">
        <f>_xlfn.XLOOKUP(E592,Table18[Product],Table18[Unit_Price])</f>
        <v>100</v>
      </c>
      <c r="I592" s="10">
        <f>_xlfn.XLOOKUP(E592,Table18[Product],Table18[Cost_Price])</f>
        <v>50</v>
      </c>
      <c r="J592" s="10">
        <v>14</v>
      </c>
      <c r="K592" s="10">
        <f t="shared" si="28"/>
        <v>386</v>
      </c>
      <c r="L592" s="10">
        <f t="shared" si="29"/>
        <v>186</v>
      </c>
      <c r="M592" t="s">
        <v>49</v>
      </c>
      <c r="N592" t="s">
        <v>58</v>
      </c>
      <c r="O592" t="s">
        <v>67</v>
      </c>
      <c r="P592">
        <v>5</v>
      </c>
    </row>
    <row r="593" spans="1:16" x14ac:dyDescent="0.25">
      <c r="A593" t="str">
        <f t="shared" si="27"/>
        <v>ORD0592</v>
      </c>
      <c r="B593" s="3">
        <v>46139</v>
      </c>
      <c r="C593" t="s">
        <v>93</v>
      </c>
      <c r="D593" t="s">
        <v>68</v>
      </c>
      <c r="E593" t="s">
        <v>24</v>
      </c>
      <c r="F593" t="s">
        <v>23</v>
      </c>
      <c r="G593">
        <v>4</v>
      </c>
      <c r="H593" s="10">
        <f>_xlfn.XLOOKUP(E593,Table18[Product],Table18[Unit_Price])</f>
        <v>210</v>
      </c>
      <c r="I593" s="10">
        <f>_xlfn.XLOOKUP(E593,Table18[Product],Table18[Cost_Price])</f>
        <v>105</v>
      </c>
      <c r="J593" s="10">
        <v>1</v>
      </c>
      <c r="K593" s="10">
        <f t="shared" si="28"/>
        <v>839</v>
      </c>
      <c r="L593" s="10">
        <f t="shared" si="29"/>
        <v>419</v>
      </c>
      <c r="M593" t="s">
        <v>57</v>
      </c>
      <c r="N593" t="s">
        <v>54</v>
      </c>
      <c r="O593" t="s">
        <v>62</v>
      </c>
      <c r="P593">
        <v>3</v>
      </c>
    </row>
    <row r="594" spans="1:16" x14ac:dyDescent="0.25">
      <c r="A594" t="str">
        <f t="shared" si="27"/>
        <v>ORD0593</v>
      </c>
      <c r="B594" s="3">
        <v>46254</v>
      </c>
      <c r="C594" t="s">
        <v>85</v>
      </c>
      <c r="D594" t="s">
        <v>63</v>
      </c>
      <c r="E594" t="s">
        <v>21</v>
      </c>
      <c r="F594" t="s">
        <v>17</v>
      </c>
      <c r="G594">
        <v>4</v>
      </c>
      <c r="H594" s="10">
        <f>_xlfn.XLOOKUP(E594,Table18[Product],Table18[Unit_Price])</f>
        <v>220</v>
      </c>
      <c r="I594" s="10">
        <f>_xlfn.XLOOKUP(E594,Table18[Product],Table18[Cost_Price])</f>
        <v>110</v>
      </c>
      <c r="J594" s="10">
        <v>20</v>
      </c>
      <c r="K594" s="10">
        <f t="shared" si="28"/>
        <v>860</v>
      </c>
      <c r="L594" s="10">
        <f t="shared" si="29"/>
        <v>420</v>
      </c>
      <c r="M594" t="s">
        <v>53</v>
      </c>
      <c r="N594" t="s">
        <v>50</v>
      </c>
      <c r="O594" t="s">
        <v>62</v>
      </c>
      <c r="P594">
        <v>3</v>
      </c>
    </row>
    <row r="595" spans="1:16" x14ac:dyDescent="0.25">
      <c r="A595" t="str">
        <f t="shared" si="27"/>
        <v>ORD0594</v>
      </c>
      <c r="B595" s="3">
        <v>46195</v>
      </c>
      <c r="C595" t="s">
        <v>83</v>
      </c>
      <c r="D595" t="s">
        <v>63</v>
      </c>
      <c r="E595" t="s">
        <v>33</v>
      </c>
      <c r="F595" t="s">
        <v>31</v>
      </c>
      <c r="G595">
        <v>1</v>
      </c>
      <c r="H595" s="10">
        <f>_xlfn.XLOOKUP(E595,Table18[Product],Table18[Unit_Price])</f>
        <v>150</v>
      </c>
      <c r="I595" s="10">
        <f>_xlfn.XLOOKUP(E595,Table18[Product],Table18[Cost_Price])</f>
        <v>75</v>
      </c>
      <c r="J595" s="10">
        <v>29</v>
      </c>
      <c r="K595" s="10">
        <f t="shared" si="28"/>
        <v>121</v>
      </c>
      <c r="L595" s="10">
        <f t="shared" si="29"/>
        <v>46</v>
      </c>
      <c r="M595" t="s">
        <v>61</v>
      </c>
      <c r="N595" t="s">
        <v>58</v>
      </c>
      <c r="O595" t="s">
        <v>73</v>
      </c>
      <c r="P595">
        <v>5</v>
      </c>
    </row>
    <row r="596" spans="1:16" x14ac:dyDescent="0.25">
      <c r="A596" t="str">
        <f t="shared" si="27"/>
        <v>ORD0595</v>
      </c>
      <c r="B596" s="3">
        <v>46148</v>
      </c>
      <c r="C596" t="s">
        <v>83</v>
      </c>
      <c r="D596" t="s">
        <v>70</v>
      </c>
      <c r="E596" t="s">
        <v>34</v>
      </c>
      <c r="F596" t="s">
        <v>35</v>
      </c>
      <c r="G596">
        <v>2</v>
      </c>
      <c r="H596" s="10">
        <f>_xlfn.XLOOKUP(E596,Table18[Product],Table18[Unit_Price])</f>
        <v>180</v>
      </c>
      <c r="I596" s="10">
        <f>_xlfn.XLOOKUP(E596,Table18[Product],Table18[Cost_Price])</f>
        <v>90</v>
      </c>
      <c r="J596" s="10">
        <v>31</v>
      </c>
      <c r="K596" s="10">
        <f t="shared" si="28"/>
        <v>329</v>
      </c>
      <c r="L596" s="10">
        <f t="shared" si="29"/>
        <v>149</v>
      </c>
      <c r="M596" t="s">
        <v>53</v>
      </c>
      <c r="N596" t="s">
        <v>50</v>
      </c>
      <c r="O596" t="s">
        <v>71</v>
      </c>
      <c r="P596">
        <v>4</v>
      </c>
    </row>
    <row r="597" spans="1:16" x14ac:dyDescent="0.25">
      <c r="A597" t="str">
        <f t="shared" si="27"/>
        <v>ORD0596</v>
      </c>
      <c r="B597" s="3">
        <v>46329</v>
      </c>
      <c r="C597" t="s">
        <v>95</v>
      </c>
      <c r="D597" t="s">
        <v>70</v>
      </c>
      <c r="E597" t="s">
        <v>29</v>
      </c>
      <c r="F597" t="s">
        <v>28</v>
      </c>
      <c r="G597">
        <v>5</v>
      </c>
      <c r="H597" s="10">
        <f>_xlfn.XLOOKUP(E597,Table18[Product],Table18[Unit_Price])</f>
        <v>120</v>
      </c>
      <c r="I597" s="10">
        <f>_xlfn.XLOOKUP(E597,Table18[Product],Table18[Cost_Price])</f>
        <v>60</v>
      </c>
      <c r="J597" s="10">
        <v>38</v>
      </c>
      <c r="K597" s="10">
        <f t="shared" si="28"/>
        <v>562</v>
      </c>
      <c r="L597" s="10">
        <f t="shared" si="29"/>
        <v>262</v>
      </c>
      <c r="M597" t="s">
        <v>64</v>
      </c>
      <c r="N597" t="s">
        <v>58</v>
      </c>
      <c r="O597" t="s">
        <v>73</v>
      </c>
      <c r="P597">
        <v>4</v>
      </c>
    </row>
    <row r="598" spans="1:16" x14ac:dyDescent="0.25">
      <c r="A598" t="str">
        <f t="shared" si="27"/>
        <v>ORD0597</v>
      </c>
      <c r="B598" s="3">
        <v>46075</v>
      </c>
      <c r="C598" t="s">
        <v>105</v>
      </c>
      <c r="D598" t="s">
        <v>60</v>
      </c>
      <c r="E598" t="s">
        <v>39</v>
      </c>
      <c r="F598" t="s">
        <v>40</v>
      </c>
      <c r="G598">
        <v>1</v>
      </c>
      <c r="H598" s="10">
        <f>_xlfn.XLOOKUP(E598,Table18[Product],Table18[Unit_Price])</f>
        <v>240</v>
      </c>
      <c r="I598" s="10">
        <f>_xlfn.XLOOKUP(E598,Table18[Product],Table18[Cost_Price])</f>
        <v>120</v>
      </c>
      <c r="J598" s="10">
        <v>36</v>
      </c>
      <c r="K598" s="10">
        <f t="shared" si="28"/>
        <v>204</v>
      </c>
      <c r="L598" s="10">
        <f t="shared" si="29"/>
        <v>84</v>
      </c>
      <c r="M598" t="s">
        <v>49</v>
      </c>
      <c r="N598" t="s">
        <v>50</v>
      </c>
      <c r="O598" t="s">
        <v>62</v>
      </c>
      <c r="P598">
        <v>3</v>
      </c>
    </row>
    <row r="599" spans="1:16" x14ac:dyDescent="0.25">
      <c r="A599" t="str">
        <f t="shared" si="27"/>
        <v>ORD0598</v>
      </c>
      <c r="B599" s="3">
        <v>46218</v>
      </c>
      <c r="C599" t="s">
        <v>91</v>
      </c>
      <c r="D599" t="s">
        <v>68</v>
      </c>
      <c r="E599" t="s">
        <v>29</v>
      </c>
      <c r="F599" t="s">
        <v>28</v>
      </c>
      <c r="G599">
        <v>2</v>
      </c>
      <c r="H599" s="10">
        <f>_xlfn.XLOOKUP(E599,Table18[Product],Table18[Unit_Price])</f>
        <v>120</v>
      </c>
      <c r="I599" s="10">
        <f>_xlfn.XLOOKUP(E599,Table18[Product],Table18[Cost_Price])</f>
        <v>60</v>
      </c>
      <c r="J599" s="10">
        <v>22</v>
      </c>
      <c r="K599" s="10">
        <f t="shared" si="28"/>
        <v>218</v>
      </c>
      <c r="L599" s="10">
        <f t="shared" si="29"/>
        <v>98</v>
      </c>
      <c r="M599" t="s">
        <v>64</v>
      </c>
      <c r="N599" t="s">
        <v>54</v>
      </c>
      <c r="O599" t="s">
        <v>55</v>
      </c>
      <c r="P599">
        <v>5</v>
      </c>
    </row>
    <row r="600" spans="1:16" x14ac:dyDescent="0.25">
      <c r="A600" t="str">
        <f t="shared" si="27"/>
        <v>ORD0599</v>
      </c>
      <c r="B600" s="3">
        <v>46285</v>
      </c>
      <c r="C600" t="s">
        <v>95</v>
      </c>
      <c r="D600" t="s">
        <v>66</v>
      </c>
      <c r="E600" t="s">
        <v>33</v>
      </c>
      <c r="F600" t="s">
        <v>31</v>
      </c>
      <c r="G600">
        <v>1</v>
      </c>
      <c r="H600" s="10">
        <f>_xlfn.XLOOKUP(E600,Table18[Product],Table18[Unit_Price])</f>
        <v>150</v>
      </c>
      <c r="I600" s="10">
        <f>_xlfn.XLOOKUP(E600,Table18[Product],Table18[Cost_Price])</f>
        <v>75</v>
      </c>
      <c r="J600" s="10">
        <v>8</v>
      </c>
      <c r="K600" s="10">
        <f t="shared" si="28"/>
        <v>142</v>
      </c>
      <c r="L600" s="10">
        <f t="shared" si="29"/>
        <v>67</v>
      </c>
      <c r="M600" t="s">
        <v>53</v>
      </c>
      <c r="N600" t="s">
        <v>58</v>
      </c>
      <c r="O600" t="s">
        <v>51</v>
      </c>
      <c r="P600">
        <v>3</v>
      </c>
    </row>
    <row r="601" spans="1:16" x14ac:dyDescent="0.25">
      <c r="A601" t="str">
        <f t="shared" si="27"/>
        <v>ORD0600</v>
      </c>
      <c r="B601" s="3">
        <v>46083</v>
      </c>
      <c r="C601" t="s">
        <v>98</v>
      </c>
      <c r="D601" t="s">
        <v>63</v>
      </c>
      <c r="E601" t="s">
        <v>19</v>
      </c>
      <c r="F601" t="s">
        <v>17</v>
      </c>
      <c r="G601">
        <v>3</v>
      </c>
      <c r="H601" s="10">
        <f>_xlfn.XLOOKUP(E601,Table18[Product],Table18[Unit_Price])</f>
        <v>200</v>
      </c>
      <c r="I601" s="10">
        <f>_xlfn.XLOOKUP(E601,Table18[Product],Table18[Cost_Price])</f>
        <v>100</v>
      </c>
      <c r="J601" s="10">
        <v>15</v>
      </c>
      <c r="K601" s="10">
        <f t="shared" si="28"/>
        <v>585</v>
      </c>
      <c r="L601" s="10">
        <f t="shared" si="29"/>
        <v>285</v>
      </c>
      <c r="M601" t="s">
        <v>53</v>
      </c>
      <c r="N601" t="s">
        <v>54</v>
      </c>
      <c r="O601" t="s">
        <v>69</v>
      </c>
      <c r="P601">
        <v>3</v>
      </c>
    </row>
    <row r="602" spans="1:16" x14ac:dyDescent="0.25">
      <c r="A602" t="str">
        <f t="shared" si="27"/>
        <v>ORD0601</v>
      </c>
      <c r="B602" s="3">
        <v>46048</v>
      </c>
      <c r="C602" t="s">
        <v>102</v>
      </c>
      <c r="D602" t="s">
        <v>60</v>
      </c>
      <c r="E602" t="s">
        <v>32</v>
      </c>
      <c r="F602" t="s">
        <v>31</v>
      </c>
      <c r="G602">
        <v>3</v>
      </c>
      <c r="H602" s="10">
        <f>_xlfn.XLOOKUP(E602,Table18[Product],Table18[Unit_Price])</f>
        <v>130</v>
      </c>
      <c r="I602" s="10">
        <f>_xlfn.XLOOKUP(E602,Table18[Product],Table18[Cost_Price])</f>
        <v>65</v>
      </c>
      <c r="J602" s="10">
        <v>48</v>
      </c>
      <c r="K602" s="10">
        <f t="shared" si="28"/>
        <v>342</v>
      </c>
      <c r="L602" s="10">
        <f t="shared" si="29"/>
        <v>147</v>
      </c>
      <c r="M602" t="s">
        <v>49</v>
      </c>
      <c r="N602" t="s">
        <v>58</v>
      </c>
      <c r="O602" t="s">
        <v>67</v>
      </c>
      <c r="P602">
        <v>3</v>
      </c>
    </row>
    <row r="603" spans="1:16" x14ac:dyDescent="0.25">
      <c r="A603" t="str">
        <f t="shared" si="27"/>
        <v>ORD0602</v>
      </c>
      <c r="B603" s="3">
        <v>46043</v>
      </c>
      <c r="C603" t="s">
        <v>92</v>
      </c>
      <c r="D603" t="s">
        <v>66</v>
      </c>
      <c r="E603" t="s">
        <v>18</v>
      </c>
      <c r="F603" t="s">
        <v>17</v>
      </c>
      <c r="G603">
        <v>5</v>
      </c>
      <c r="H603" s="10">
        <f>_xlfn.XLOOKUP(E603,Table18[Product],Table18[Unit_Price])</f>
        <v>180</v>
      </c>
      <c r="I603" s="10">
        <f>_xlfn.XLOOKUP(E603,Table18[Product],Table18[Cost_Price])</f>
        <v>90</v>
      </c>
      <c r="J603" s="10">
        <v>36</v>
      </c>
      <c r="K603" s="10">
        <f t="shared" si="28"/>
        <v>864</v>
      </c>
      <c r="L603" s="10">
        <f t="shared" si="29"/>
        <v>414</v>
      </c>
      <c r="M603" t="s">
        <v>64</v>
      </c>
      <c r="N603" t="s">
        <v>54</v>
      </c>
      <c r="O603" t="s">
        <v>55</v>
      </c>
      <c r="P603">
        <v>3</v>
      </c>
    </row>
    <row r="604" spans="1:16" x14ac:dyDescent="0.25">
      <c r="A604" t="str">
        <f t="shared" si="27"/>
        <v>ORD0603</v>
      </c>
      <c r="B604" s="3">
        <v>46236</v>
      </c>
      <c r="C604" t="s">
        <v>82</v>
      </c>
      <c r="D604" t="s">
        <v>48</v>
      </c>
      <c r="E604" t="s">
        <v>21</v>
      </c>
      <c r="F604" t="s">
        <v>17</v>
      </c>
      <c r="G604">
        <v>5</v>
      </c>
      <c r="H604" s="10">
        <f>_xlfn.XLOOKUP(E604,Table18[Product],Table18[Unit_Price])</f>
        <v>220</v>
      </c>
      <c r="I604" s="10">
        <f>_xlfn.XLOOKUP(E604,Table18[Product],Table18[Cost_Price])</f>
        <v>110</v>
      </c>
      <c r="J604" s="10">
        <v>16</v>
      </c>
      <c r="K604" s="10">
        <f t="shared" si="28"/>
        <v>1084</v>
      </c>
      <c r="L604" s="10">
        <f t="shared" si="29"/>
        <v>534</v>
      </c>
      <c r="M604" t="s">
        <v>64</v>
      </c>
      <c r="N604" t="s">
        <v>58</v>
      </c>
      <c r="O604" t="s">
        <v>62</v>
      </c>
      <c r="P604">
        <v>5</v>
      </c>
    </row>
    <row r="605" spans="1:16" x14ac:dyDescent="0.25">
      <c r="A605" t="str">
        <f t="shared" si="27"/>
        <v>ORD0604</v>
      </c>
      <c r="B605" s="3">
        <v>46271</v>
      </c>
      <c r="C605" t="s">
        <v>78</v>
      </c>
      <c r="D605" t="s">
        <v>56</v>
      </c>
      <c r="E605" t="s">
        <v>21</v>
      </c>
      <c r="F605" t="s">
        <v>17</v>
      </c>
      <c r="G605">
        <v>2</v>
      </c>
      <c r="H605" s="10">
        <f>_xlfn.XLOOKUP(E605,Table18[Product],Table18[Unit_Price])</f>
        <v>220</v>
      </c>
      <c r="I605" s="10">
        <f>_xlfn.XLOOKUP(E605,Table18[Product],Table18[Cost_Price])</f>
        <v>110</v>
      </c>
      <c r="J605" s="10">
        <v>47</v>
      </c>
      <c r="K605" s="10">
        <f t="shared" si="28"/>
        <v>393</v>
      </c>
      <c r="L605" s="10">
        <f t="shared" si="29"/>
        <v>173</v>
      </c>
      <c r="M605" t="s">
        <v>49</v>
      </c>
      <c r="N605" t="s">
        <v>54</v>
      </c>
      <c r="O605" t="s">
        <v>59</v>
      </c>
      <c r="P605">
        <v>5</v>
      </c>
    </row>
    <row r="606" spans="1:16" x14ac:dyDescent="0.25">
      <c r="A606" t="str">
        <f t="shared" si="27"/>
        <v>ORD0605</v>
      </c>
      <c r="B606" s="3">
        <v>46278</v>
      </c>
      <c r="C606" t="s">
        <v>97</v>
      </c>
      <c r="D606" t="s">
        <v>56</v>
      </c>
      <c r="E606" t="s">
        <v>22</v>
      </c>
      <c r="F606" t="s">
        <v>23</v>
      </c>
      <c r="G606">
        <v>4</v>
      </c>
      <c r="H606" s="10">
        <f>_xlfn.XLOOKUP(E606,Table18[Product],Table18[Unit_Price])</f>
        <v>190</v>
      </c>
      <c r="I606" s="10">
        <f>_xlfn.XLOOKUP(E606,Table18[Product],Table18[Cost_Price])</f>
        <v>95</v>
      </c>
      <c r="J606" s="10">
        <v>14</v>
      </c>
      <c r="K606" s="10">
        <f t="shared" si="28"/>
        <v>746</v>
      </c>
      <c r="L606" s="10">
        <f t="shared" si="29"/>
        <v>366</v>
      </c>
      <c r="M606" t="s">
        <v>57</v>
      </c>
      <c r="N606" t="s">
        <v>50</v>
      </c>
      <c r="O606" t="s">
        <v>59</v>
      </c>
      <c r="P606">
        <v>5</v>
      </c>
    </row>
    <row r="607" spans="1:16" x14ac:dyDescent="0.25">
      <c r="A607" t="str">
        <f t="shared" si="27"/>
        <v>ORD0606</v>
      </c>
      <c r="B607" s="3">
        <v>46124</v>
      </c>
      <c r="C607" t="s">
        <v>95</v>
      </c>
      <c r="D607" t="s">
        <v>48</v>
      </c>
      <c r="E607" t="s">
        <v>19</v>
      </c>
      <c r="F607" t="s">
        <v>17</v>
      </c>
      <c r="G607">
        <v>1</v>
      </c>
      <c r="H607" s="10">
        <f>_xlfn.XLOOKUP(E607,Table18[Product],Table18[Unit_Price])</f>
        <v>200</v>
      </c>
      <c r="I607" s="10">
        <f>_xlfn.XLOOKUP(E607,Table18[Product],Table18[Cost_Price])</f>
        <v>100</v>
      </c>
      <c r="J607" s="10">
        <v>6</v>
      </c>
      <c r="K607" s="10">
        <f t="shared" si="28"/>
        <v>194</v>
      </c>
      <c r="L607" s="10">
        <f t="shared" si="29"/>
        <v>94</v>
      </c>
      <c r="M607" t="s">
        <v>57</v>
      </c>
      <c r="N607" t="s">
        <v>58</v>
      </c>
      <c r="O607" t="s">
        <v>67</v>
      </c>
      <c r="P607">
        <v>3</v>
      </c>
    </row>
    <row r="608" spans="1:16" x14ac:dyDescent="0.25">
      <c r="A608" t="str">
        <f t="shared" si="27"/>
        <v>ORD0607</v>
      </c>
      <c r="B608" s="3">
        <v>46242</v>
      </c>
      <c r="C608" t="s">
        <v>81</v>
      </c>
      <c r="D608" t="s">
        <v>60</v>
      </c>
      <c r="E608" t="s">
        <v>33</v>
      </c>
      <c r="F608" t="s">
        <v>31</v>
      </c>
      <c r="G608">
        <v>5</v>
      </c>
      <c r="H608" s="10">
        <f>_xlfn.XLOOKUP(E608,Table18[Product],Table18[Unit_Price])</f>
        <v>150</v>
      </c>
      <c r="I608" s="10">
        <f>_xlfn.XLOOKUP(E608,Table18[Product],Table18[Cost_Price])</f>
        <v>75</v>
      </c>
      <c r="J608" s="10">
        <v>13</v>
      </c>
      <c r="K608" s="10">
        <f t="shared" si="28"/>
        <v>737</v>
      </c>
      <c r="L608" s="10">
        <f t="shared" si="29"/>
        <v>362</v>
      </c>
      <c r="M608" t="s">
        <v>61</v>
      </c>
      <c r="N608" t="s">
        <v>50</v>
      </c>
      <c r="O608" t="s">
        <v>55</v>
      </c>
      <c r="P608">
        <v>3</v>
      </c>
    </row>
    <row r="609" spans="1:16" x14ac:dyDescent="0.25">
      <c r="A609" t="str">
        <f t="shared" si="27"/>
        <v>ORD0608</v>
      </c>
      <c r="B609" s="3">
        <v>46085</v>
      </c>
      <c r="C609" t="s">
        <v>91</v>
      </c>
      <c r="D609" t="s">
        <v>72</v>
      </c>
      <c r="E609" t="s">
        <v>37</v>
      </c>
      <c r="F609" t="s">
        <v>35</v>
      </c>
      <c r="G609">
        <v>3</v>
      </c>
      <c r="H609" s="10">
        <f>_xlfn.XLOOKUP(E609,Table18[Product],Table18[Unit_Price])</f>
        <v>160</v>
      </c>
      <c r="I609" s="10">
        <f>_xlfn.XLOOKUP(E609,Table18[Product],Table18[Cost_Price])</f>
        <v>80</v>
      </c>
      <c r="J609" s="10">
        <v>36</v>
      </c>
      <c r="K609" s="10">
        <f t="shared" si="28"/>
        <v>444</v>
      </c>
      <c r="L609" s="10">
        <f t="shared" si="29"/>
        <v>204</v>
      </c>
      <c r="M609" t="s">
        <v>61</v>
      </c>
      <c r="N609" t="s">
        <v>58</v>
      </c>
      <c r="O609" t="s">
        <v>51</v>
      </c>
      <c r="P609">
        <v>3</v>
      </c>
    </row>
    <row r="610" spans="1:16" x14ac:dyDescent="0.25">
      <c r="A610" t="str">
        <f t="shared" si="27"/>
        <v>ORD0609</v>
      </c>
      <c r="B610" s="3">
        <v>46282</v>
      </c>
      <c r="C610" t="s">
        <v>97</v>
      </c>
      <c r="D610" t="s">
        <v>66</v>
      </c>
      <c r="E610" t="s">
        <v>19</v>
      </c>
      <c r="F610" t="s">
        <v>17</v>
      </c>
      <c r="G610">
        <v>4</v>
      </c>
      <c r="H610" s="10">
        <f>_xlfn.XLOOKUP(E610,Table18[Product],Table18[Unit_Price])</f>
        <v>200</v>
      </c>
      <c r="I610" s="10">
        <f>_xlfn.XLOOKUP(E610,Table18[Product],Table18[Cost_Price])</f>
        <v>100</v>
      </c>
      <c r="J610" s="10">
        <v>10</v>
      </c>
      <c r="K610" s="10">
        <f t="shared" si="28"/>
        <v>790</v>
      </c>
      <c r="L610" s="10">
        <f t="shared" si="29"/>
        <v>390</v>
      </c>
      <c r="M610" t="s">
        <v>61</v>
      </c>
      <c r="N610" t="s">
        <v>50</v>
      </c>
      <c r="O610" t="s">
        <v>73</v>
      </c>
      <c r="P610">
        <v>5</v>
      </c>
    </row>
    <row r="611" spans="1:16" x14ac:dyDescent="0.25">
      <c r="A611" t="str">
        <f t="shared" si="27"/>
        <v>ORD0610</v>
      </c>
      <c r="B611" s="3">
        <v>46247</v>
      </c>
      <c r="C611" t="s">
        <v>80</v>
      </c>
      <c r="D611" t="s">
        <v>74</v>
      </c>
      <c r="E611" t="s">
        <v>25</v>
      </c>
      <c r="F611" t="s">
        <v>26</v>
      </c>
      <c r="G611">
        <v>1</v>
      </c>
      <c r="H611" s="10">
        <f>_xlfn.XLOOKUP(E611,Table18[Product],Table18[Unit_Price])</f>
        <v>170</v>
      </c>
      <c r="I611" s="10">
        <f>_xlfn.XLOOKUP(E611,Table18[Product],Table18[Cost_Price])</f>
        <v>85</v>
      </c>
      <c r="J611" s="10">
        <v>13</v>
      </c>
      <c r="K611" s="10">
        <f t="shared" si="28"/>
        <v>157</v>
      </c>
      <c r="L611" s="10">
        <f t="shared" si="29"/>
        <v>72</v>
      </c>
      <c r="M611" t="s">
        <v>61</v>
      </c>
      <c r="N611" t="s">
        <v>50</v>
      </c>
      <c r="O611" t="s">
        <v>65</v>
      </c>
      <c r="P611">
        <v>4</v>
      </c>
    </row>
    <row r="612" spans="1:16" x14ac:dyDescent="0.25">
      <c r="A612" t="str">
        <f t="shared" si="27"/>
        <v>ORD0611</v>
      </c>
      <c r="B612" s="3">
        <v>46047</v>
      </c>
      <c r="C612" t="s">
        <v>76</v>
      </c>
      <c r="D612" t="s">
        <v>52</v>
      </c>
      <c r="E612" t="s">
        <v>21</v>
      </c>
      <c r="F612" t="s">
        <v>17</v>
      </c>
      <c r="G612">
        <v>1</v>
      </c>
      <c r="H612" s="10">
        <f>_xlfn.XLOOKUP(E612,Table18[Product],Table18[Unit_Price])</f>
        <v>220</v>
      </c>
      <c r="I612" s="10">
        <f>_xlfn.XLOOKUP(E612,Table18[Product],Table18[Cost_Price])</f>
        <v>110</v>
      </c>
      <c r="J612" s="10">
        <v>7</v>
      </c>
      <c r="K612" s="10">
        <f t="shared" si="28"/>
        <v>213</v>
      </c>
      <c r="L612" s="10">
        <f t="shared" si="29"/>
        <v>103</v>
      </c>
      <c r="M612" t="s">
        <v>61</v>
      </c>
      <c r="N612" t="s">
        <v>58</v>
      </c>
      <c r="O612" t="s">
        <v>69</v>
      </c>
      <c r="P612">
        <v>3</v>
      </c>
    </row>
    <row r="613" spans="1:16" x14ac:dyDescent="0.25">
      <c r="A613" t="str">
        <f t="shared" si="27"/>
        <v>ORD0612</v>
      </c>
      <c r="B613" s="3">
        <v>46273</v>
      </c>
      <c r="C613" t="s">
        <v>89</v>
      </c>
      <c r="D613" t="s">
        <v>66</v>
      </c>
      <c r="E613" t="s">
        <v>24</v>
      </c>
      <c r="F613" t="s">
        <v>23</v>
      </c>
      <c r="G613">
        <v>3</v>
      </c>
      <c r="H613" s="10">
        <f>_xlfn.XLOOKUP(E613,Table18[Product],Table18[Unit_Price])</f>
        <v>210</v>
      </c>
      <c r="I613" s="10">
        <f>_xlfn.XLOOKUP(E613,Table18[Product],Table18[Cost_Price])</f>
        <v>105</v>
      </c>
      <c r="J613" s="10">
        <v>39</v>
      </c>
      <c r="K613" s="10">
        <f t="shared" si="28"/>
        <v>591</v>
      </c>
      <c r="L613" s="10">
        <f t="shared" si="29"/>
        <v>276</v>
      </c>
      <c r="M613" t="s">
        <v>64</v>
      </c>
      <c r="N613" t="s">
        <v>50</v>
      </c>
      <c r="O613" t="s">
        <v>67</v>
      </c>
      <c r="P613">
        <v>5</v>
      </c>
    </row>
    <row r="614" spans="1:16" x14ac:dyDescent="0.25">
      <c r="A614" t="str">
        <f t="shared" si="27"/>
        <v>ORD0613</v>
      </c>
      <c r="B614" s="3">
        <v>46150</v>
      </c>
      <c r="C614" t="s">
        <v>81</v>
      </c>
      <c r="D614" t="s">
        <v>48</v>
      </c>
      <c r="E614" t="s">
        <v>30</v>
      </c>
      <c r="F614" t="s">
        <v>31</v>
      </c>
      <c r="G614">
        <v>3</v>
      </c>
      <c r="H614" s="10">
        <f>_xlfn.XLOOKUP(E614,Table18[Product],Table18[Unit_Price])</f>
        <v>110</v>
      </c>
      <c r="I614" s="10">
        <f>_xlfn.XLOOKUP(E614,Table18[Product],Table18[Cost_Price])</f>
        <v>55</v>
      </c>
      <c r="J614" s="10">
        <v>12</v>
      </c>
      <c r="K614" s="10">
        <f t="shared" si="28"/>
        <v>318</v>
      </c>
      <c r="L614" s="10">
        <f t="shared" si="29"/>
        <v>153</v>
      </c>
      <c r="M614" t="s">
        <v>49</v>
      </c>
      <c r="N614" t="s">
        <v>58</v>
      </c>
      <c r="O614" t="s">
        <v>73</v>
      </c>
      <c r="P614">
        <v>5</v>
      </c>
    </row>
    <row r="615" spans="1:16" x14ac:dyDescent="0.25">
      <c r="A615" t="str">
        <f t="shared" si="27"/>
        <v>ORD0614</v>
      </c>
      <c r="B615" s="3">
        <v>46207</v>
      </c>
      <c r="C615" t="s">
        <v>83</v>
      </c>
      <c r="D615" t="s">
        <v>56</v>
      </c>
      <c r="E615" t="s">
        <v>41</v>
      </c>
      <c r="F615" t="s">
        <v>40</v>
      </c>
      <c r="G615">
        <v>1</v>
      </c>
      <c r="H615" s="10">
        <f>_xlfn.XLOOKUP(E615,Table18[Product],Table18[Unit_Price])</f>
        <v>100</v>
      </c>
      <c r="I615" s="10">
        <f>_xlfn.XLOOKUP(E615,Table18[Product],Table18[Cost_Price])</f>
        <v>50</v>
      </c>
      <c r="J615" s="10">
        <v>31</v>
      </c>
      <c r="K615" s="10">
        <f t="shared" si="28"/>
        <v>69</v>
      </c>
      <c r="L615" s="10">
        <f t="shared" si="29"/>
        <v>19</v>
      </c>
      <c r="M615" t="s">
        <v>49</v>
      </c>
      <c r="N615" t="s">
        <v>54</v>
      </c>
      <c r="O615" t="s">
        <v>67</v>
      </c>
      <c r="P615">
        <v>3</v>
      </c>
    </row>
    <row r="616" spans="1:16" x14ac:dyDescent="0.25">
      <c r="A616" t="str">
        <f t="shared" si="27"/>
        <v>ORD0615</v>
      </c>
      <c r="B616" s="3">
        <v>46063</v>
      </c>
      <c r="C616" t="s">
        <v>101</v>
      </c>
      <c r="D616" t="s">
        <v>56</v>
      </c>
      <c r="E616" t="s">
        <v>22</v>
      </c>
      <c r="F616" t="s">
        <v>23</v>
      </c>
      <c r="G616">
        <v>2</v>
      </c>
      <c r="H616" s="10">
        <f>_xlfn.XLOOKUP(E616,Table18[Product],Table18[Unit_Price])</f>
        <v>190</v>
      </c>
      <c r="I616" s="10">
        <f>_xlfn.XLOOKUP(E616,Table18[Product],Table18[Cost_Price])</f>
        <v>95</v>
      </c>
      <c r="J616" s="10">
        <v>47</v>
      </c>
      <c r="K616" s="10">
        <f t="shared" si="28"/>
        <v>333</v>
      </c>
      <c r="L616" s="10">
        <f t="shared" si="29"/>
        <v>143</v>
      </c>
      <c r="M616" t="s">
        <v>49</v>
      </c>
      <c r="N616" t="s">
        <v>50</v>
      </c>
      <c r="O616" t="s">
        <v>71</v>
      </c>
      <c r="P616">
        <v>5</v>
      </c>
    </row>
    <row r="617" spans="1:16" x14ac:dyDescent="0.25">
      <c r="A617" t="str">
        <f t="shared" si="27"/>
        <v>ORD0616</v>
      </c>
      <c r="B617" s="3">
        <v>46101</v>
      </c>
      <c r="C617" t="s">
        <v>76</v>
      </c>
      <c r="D617" t="s">
        <v>66</v>
      </c>
      <c r="E617" t="s">
        <v>39</v>
      </c>
      <c r="F617" t="s">
        <v>40</v>
      </c>
      <c r="G617">
        <v>3</v>
      </c>
      <c r="H617" s="10">
        <f>_xlfn.XLOOKUP(E617,Table18[Product],Table18[Unit_Price])</f>
        <v>240</v>
      </c>
      <c r="I617" s="10">
        <f>_xlfn.XLOOKUP(E617,Table18[Product],Table18[Cost_Price])</f>
        <v>120</v>
      </c>
      <c r="J617" s="10">
        <v>50</v>
      </c>
      <c r="K617" s="10">
        <f t="shared" si="28"/>
        <v>670</v>
      </c>
      <c r="L617" s="10">
        <f t="shared" si="29"/>
        <v>310</v>
      </c>
      <c r="M617" t="s">
        <v>61</v>
      </c>
      <c r="N617" t="s">
        <v>50</v>
      </c>
      <c r="O617" t="s">
        <v>65</v>
      </c>
      <c r="P617">
        <v>4</v>
      </c>
    </row>
    <row r="618" spans="1:16" x14ac:dyDescent="0.25">
      <c r="A618" t="str">
        <f t="shared" si="27"/>
        <v>ORD0617</v>
      </c>
      <c r="B618" s="3">
        <v>46292</v>
      </c>
      <c r="C618" t="s">
        <v>91</v>
      </c>
      <c r="D618" t="s">
        <v>74</v>
      </c>
      <c r="E618" t="s">
        <v>36</v>
      </c>
      <c r="F618" t="s">
        <v>35</v>
      </c>
      <c r="G618">
        <v>2</v>
      </c>
      <c r="H618" s="10">
        <f>_xlfn.XLOOKUP(E618,Table18[Product],Table18[Unit_Price])</f>
        <v>220</v>
      </c>
      <c r="I618" s="10">
        <f>_xlfn.XLOOKUP(E618,Table18[Product],Table18[Cost_Price])</f>
        <v>110</v>
      </c>
      <c r="J618" s="10">
        <v>34</v>
      </c>
      <c r="K618" s="10">
        <f t="shared" si="28"/>
        <v>406</v>
      </c>
      <c r="L618" s="10">
        <f t="shared" si="29"/>
        <v>186</v>
      </c>
      <c r="M618" t="s">
        <v>49</v>
      </c>
      <c r="N618" t="s">
        <v>54</v>
      </c>
      <c r="O618" t="s">
        <v>75</v>
      </c>
      <c r="P618">
        <v>3</v>
      </c>
    </row>
    <row r="619" spans="1:16" x14ac:dyDescent="0.25">
      <c r="A619" t="str">
        <f t="shared" si="27"/>
        <v>ORD0618</v>
      </c>
      <c r="B619" s="3">
        <v>46268</v>
      </c>
      <c r="C619" t="s">
        <v>101</v>
      </c>
      <c r="D619" t="s">
        <v>56</v>
      </c>
      <c r="E619" t="s">
        <v>19</v>
      </c>
      <c r="F619" t="s">
        <v>17</v>
      </c>
      <c r="G619">
        <v>4</v>
      </c>
      <c r="H619" s="10">
        <f>_xlfn.XLOOKUP(E619,Table18[Product],Table18[Unit_Price])</f>
        <v>200</v>
      </c>
      <c r="I619" s="10">
        <f>_xlfn.XLOOKUP(E619,Table18[Product],Table18[Cost_Price])</f>
        <v>100</v>
      </c>
      <c r="J619" s="10">
        <v>44</v>
      </c>
      <c r="K619" s="10">
        <f t="shared" si="28"/>
        <v>756</v>
      </c>
      <c r="L619" s="10">
        <f t="shared" si="29"/>
        <v>356</v>
      </c>
      <c r="M619" t="s">
        <v>64</v>
      </c>
      <c r="N619" t="s">
        <v>54</v>
      </c>
      <c r="O619" t="s">
        <v>73</v>
      </c>
      <c r="P619">
        <v>5</v>
      </c>
    </row>
    <row r="620" spans="1:16" x14ac:dyDescent="0.25">
      <c r="A620" t="str">
        <f t="shared" si="27"/>
        <v>ORD0619</v>
      </c>
      <c r="B620" s="3">
        <v>46301</v>
      </c>
      <c r="C620" t="s">
        <v>84</v>
      </c>
      <c r="D620" t="s">
        <v>72</v>
      </c>
      <c r="E620" t="s">
        <v>29</v>
      </c>
      <c r="F620" t="s">
        <v>28</v>
      </c>
      <c r="G620">
        <v>4</v>
      </c>
      <c r="H620" s="10">
        <f>_xlfn.XLOOKUP(E620,Table18[Product],Table18[Unit_Price])</f>
        <v>120</v>
      </c>
      <c r="I620" s="10">
        <f>_xlfn.XLOOKUP(E620,Table18[Product],Table18[Cost_Price])</f>
        <v>60</v>
      </c>
      <c r="J620" s="10">
        <v>44</v>
      </c>
      <c r="K620" s="10">
        <f t="shared" si="28"/>
        <v>436</v>
      </c>
      <c r="L620" s="10">
        <f t="shared" si="29"/>
        <v>196</v>
      </c>
      <c r="M620" t="s">
        <v>61</v>
      </c>
      <c r="N620" t="s">
        <v>54</v>
      </c>
      <c r="O620" t="s">
        <v>71</v>
      </c>
      <c r="P620">
        <v>3</v>
      </c>
    </row>
    <row r="621" spans="1:16" x14ac:dyDescent="0.25">
      <c r="A621" t="str">
        <f t="shared" si="27"/>
        <v>ORD0620</v>
      </c>
      <c r="B621" s="3">
        <v>46120</v>
      </c>
      <c r="C621" t="s">
        <v>84</v>
      </c>
      <c r="D621" t="s">
        <v>68</v>
      </c>
      <c r="E621" t="s">
        <v>16</v>
      </c>
      <c r="F621" t="s">
        <v>17</v>
      </c>
      <c r="G621">
        <v>1</v>
      </c>
      <c r="H621" s="10">
        <f>_xlfn.XLOOKUP(E621,Table18[Product],Table18[Unit_Price])</f>
        <v>120</v>
      </c>
      <c r="I621" s="10">
        <f>_xlfn.XLOOKUP(E621,Table18[Product],Table18[Cost_Price])</f>
        <v>60</v>
      </c>
      <c r="J621" s="10">
        <v>21</v>
      </c>
      <c r="K621" s="10">
        <f t="shared" si="28"/>
        <v>99</v>
      </c>
      <c r="L621" s="10">
        <f t="shared" si="29"/>
        <v>39</v>
      </c>
      <c r="M621" t="s">
        <v>49</v>
      </c>
      <c r="N621" t="s">
        <v>50</v>
      </c>
      <c r="O621" t="s">
        <v>62</v>
      </c>
      <c r="P621">
        <v>4</v>
      </c>
    </row>
    <row r="622" spans="1:16" x14ac:dyDescent="0.25">
      <c r="A622" t="str">
        <f t="shared" si="27"/>
        <v>ORD0621</v>
      </c>
      <c r="B622" s="3">
        <v>46127</v>
      </c>
      <c r="C622" t="s">
        <v>87</v>
      </c>
      <c r="D622" t="s">
        <v>48</v>
      </c>
      <c r="E622" t="s">
        <v>29</v>
      </c>
      <c r="F622" t="s">
        <v>28</v>
      </c>
      <c r="G622">
        <v>2</v>
      </c>
      <c r="H622" s="10">
        <f>_xlfn.XLOOKUP(E622,Table18[Product],Table18[Unit_Price])</f>
        <v>120</v>
      </c>
      <c r="I622" s="10">
        <f>_xlfn.XLOOKUP(E622,Table18[Product],Table18[Cost_Price])</f>
        <v>60</v>
      </c>
      <c r="J622" s="10">
        <v>30</v>
      </c>
      <c r="K622" s="10">
        <f t="shared" si="28"/>
        <v>210</v>
      </c>
      <c r="L622" s="10">
        <f t="shared" si="29"/>
        <v>90</v>
      </c>
      <c r="M622" t="s">
        <v>61</v>
      </c>
      <c r="N622" t="s">
        <v>54</v>
      </c>
      <c r="O622" t="s">
        <v>75</v>
      </c>
      <c r="P622">
        <v>3</v>
      </c>
    </row>
    <row r="623" spans="1:16" x14ac:dyDescent="0.25">
      <c r="A623" t="str">
        <f t="shared" si="27"/>
        <v>ORD0622</v>
      </c>
      <c r="B623" s="3">
        <v>46208</v>
      </c>
      <c r="C623" t="s">
        <v>95</v>
      </c>
      <c r="D623" t="s">
        <v>60</v>
      </c>
      <c r="E623" t="s">
        <v>19</v>
      </c>
      <c r="F623" t="s">
        <v>17</v>
      </c>
      <c r="G623">
        <v>2</v>
      </c>
      <c r="H623" s="10">
        <f>_xlfn.XLOOKUP(E623,Table18[Product],Table18[Unit_Price])</f>
        <v>200</v>
      </c>
      <c r="I623" s="10">
        <f>_xlfn.XLOOKUP(E623,Table18[Product],Table18[Cost_Price])</f>
        <v>100</v>
      </c>
      <c r="J623" s="10">
        <v>35</v>
      </c>
      <c r="K623" s="10">
        <f t="shared" si="28"/>
        <v>365</v>
      </c>
      <c r="L623" s="10">
        <f t="shared" si="29"/>
        <v>165</v>
      </c>
      <c r="M623" t="s">
        <v>61</v>
      </c>
      <c r="N623" t="s">
        <v>50</v>
      </c>
      <c r="O623" t="s">
        <v>65</v>
      </c>
      <c r="P623">
        <v>3</v>
      </c>
    </row>
    <row r="624" spans="1:16" x14ac:dyDescent="0.25">
      <c r="A624" t="str">
        <f t="shared" si="27"/>
        <v>ORD0623</v>
      </c>
      <c r="B624" s="3">
        <v>46268</v>
      </c>
      <c r="C624" t="s">
        <v>87</v>
      </c>
      <c r="D624" t="s">
        <v>70</v>
      </c>
      <c r="E624" t="s">
        <v>38</v>
      </c>
      <c r="F624" t="s">
        <v>35</v>
      </c>
      <c r="G624">
        <v>1</v>
      </c>
      <c r="H624" s="10">
        <f>_xlfn.XLOOKUP(E624,Table18[Product],Table18[Unit_Price])</f>
        <v>170</v>
      </c>
      <c r="I624" s="10">
        <f>_xlfn.XLOOKUP(E624,Table18[Product],Table18[Cost_Price])</f>
        <v>85</v>
      </c>
      <c r="J624" s="10">
        <v>37</v>
      </c>
      <c r="K624" s="10">
        <f t="shared" si="28"/>
        <v>133</v>
      </c>
      <c r="L624" s="10">
        <f t="shared" si="29"/>
        <v>48</v>
      </c>
      <c r="M624" t="s">
        <v>53</v>
      </c>
      <c r="N624" t="s">
        <v>58</v>
      </c>
      <c r="O624" t="s">
        <v>71</v>
      </c>
      <c r="P624">
        <v>5</v>
      </c>
    </row>
    <row r="625" spans="1:16" x14ac:dyDescent="0.25">
      <c r="A625" t="str">
        <f t="shared" si="27"/>
        <v>ORD0624</v>
      </c>
      <c r="B625" s="3">
        <v>46231</v>
      </c>
      <c r="C625" t="s">
        <v>105</v>
      </c>
      <c r="D625" t="s">
        <v>68</v>
      </c>
      <c r="E625" t="s">
        <v>30</v>
      </c>
      <c r="F625" t="s">
        <v>31</v>
      </c>
      <c r="G625">
        <v>4</v>
      </c>
      <c r="H625" s="10">
        <f>_xlfn.XLOOKUP(E625,Table18[Product],Table18[Unit_Price])</f>
        <v>110</v>
      </c>
      <c r="I625" s="10">
        <f>_xlfn.XLOOKUP(E625,Table18[Product],Table18[Cost_Price])</f>
        <v>55</v>
      </c>
      <c r="J625" s="10">
        <v>48</v>
      </c>
      <c r="K625" s="10">
        <f t="shared" si="28"/>
        <v>392</v>
      </c>
      <c r="L625" s="10">
        <f t="shared" si="29"/>
        <v>172</v>
      </c>
      <c r="M625" t="s">
        <v>61</v>
      </c>
      <c r="N625" t="s">
        <v>58</v>
      </c>
      <c r="O625" t="s">
        <v>67</v>
      </c>
      <c r="P625">
        <v>3</v>
      </c>
    </row>
    <row r="626" spans="1:16" x14ac:dyDescent="0.25">
      <c r="A626" t="str">
        <f t="shared" si="27"/>
        <v>ORD0625</v>
      </c>
      <c r="B626" s="3">
        <v>46030</v>
      </c>
      <c r="C626" t="s">
        <v>78</v>
      </c>
      <c r="D626" t="s">
        <v>66</v>
      </c>
      <c r="E626" t="s">
        <v>37</v>
      </c>
      <c r="F626" t="s">
        <v>35</v>
      </c>
      <c r="G626">
        <v>3</v>
      </c>
      <c r="H626" s="10">
        <f>_xlfn.XLOOKUP(E626,Table18[Product],Table18[Unit_Price])</f>
        <v>160</v>
      </c>
      <c r="I626" s="10">
        <f>_xlfn.XLOOKUP(E626,Table18[Product],Table18[Cost_Price])</f>
        <v>80</v>
      </c>
      <c r="J626" s="10">
        <v>7</v>
      </c>
      <c r="K626" s="10">
        <f t="shared" si="28"/>
        <v>473</v>
      </c>
      <c r="L626" s="10">
        <f t="shared" si="29"/>
        <v>233</v>
      </c>
      <c r="M626" t="s">
        <v>57</v>
      </c>
      <c r="N626" t="s">
        <v>58</v>
      </c>
      <c r="O626" t="s">
        <v>67</v>
      </c>
      <c r="P626">
        <v>4</v>
      </c>
    </row>
    <row r="627" spans="1:16" x14ac:dyDescent="0.25">
      <c r="A627" t="str">
        <f t="shared" si="27"/>
        <v>ORD0626</v>
      </c>
      <c r="B627" s="3">
        <v>46291</v>
      </c>
      <c r="C627" t="s">
        <v>80</v>
      </c>
      <c r="D627" t="s">
        <v>74</v>
      </c>
      <c r="E627" t="s">
        <v>37</v>
      </c>
      <c r="F627" t="s">
        <v>35</v>
      </c>
      <c r="G627">
        <v>5</v>
      </c>
      <c r="H627" s="10">
        <f>_xlfn.XLOOKUP(E627,Table18[Product],Table18[Unit_Price])</f>
        <v>160</v>
      </c>
      <c r="I627" s="10">
        <f>_xlfn.XLOOKUP(E627,Table18[Product],Table18[Cost_Price])</f>
        <v>80</v>
      </c>
      <c r="J627" s="10">
        <v>10</v>
      </c>
      <c r="K627" s="10">
        <f t="shared" si="28"/>
        <v>790</v>
      </c>
      <c r="L627" s="10">
        <f t="shared" si="29"/>
        <v>390</v>
      </c>
      <c r="M627" t="s">
        <v>57</v>
      </c>
      <c r="N627" t="s">
        <v>50</v>
      </c>
      <c r="O627" t="s">
        <v>59</v>
      </c>
      <c r="P627">
        <v>5</v>
      </c>
    </row>
    <row r="628" spans="1:16" x14ac:dyDescent="0.25">
      <c r="A628" t="str">
        <f t="shared" si="27"/>
        <v>ORD0627</v>
      </c>
      <c r="B628" s="3">
        <v>46254</v>
      </c>
      <c r="C628" t="s">
        <v>100</v>
      </c>
      <c r="D628" t="s">
        <v>68</v>
      </c>
      <c r="E628" t="s">
        <v>42</v>
      </c>
      <c r="F628" t="s">
        <v>40</v>
      </c>
      <c r="G628">
        <v>2</v>
      </c>
      <c r="H628" s="10">
        <f>_xlfn.XLOOKUP(E628,Table18[Product],Table18[Unit_Price])</f>
        <v>80</v>
      </c>
      <c r="I628" s="10">
        <f>_xlfn.XLOOKUP(E628,Table18[Product],Table18[Cost_Price])</f>
        <v>40</v>
      </c>
      <c r="J628" s="10">
        <v>29</v>
      </c>
      <c r="K628" s="10">
        <f t="shared" si="28"/>
        <v>131</v>
      </c>
      <c r="L628" s="10">
        <f t="shared" si="29"/>
        <v>51</v>
      </c>
      <c r="M628" t="s">
        <v>57</v>
      </c>
      <c r="N628" t="s">
        <v>50</v>
      </c>
      <c r="O628" t="s">
        <v>65</v>
      </c>
      <c r="P628">
        <v>3</v>
      </c>
    </row>
    <row r="629" spans="1:16" x14ac:dyDescent="0.25">
      <c r="A629" t="str">
        <f t="shared" si="27"/>
        <v>ORD0628</v>
      </c>
      <c r="B629" s="3">
        <v>46181</v>
      </c>
      <c r="C629" t="s">
        <v>96</v>
      </c>
      <c r="D629" t="s">
        <v>60</v>
      </c>
      <c r="E629" t="s">
        <v>24</v>
      </c>
      <c r="F629" t="s">
        <v>23</v>
      </c>
      <c r="G629">
        <v>5</v>
      </c>
      <c r="H629" s="10">
        <f>_xlfn.XLOOKUP(E629,Table18[Product],Table18[Unit_Price])</f>
        <v>210</v>
      </c>
      <c r="I629" s="10">
        <f>_xlfn.XLOOKUP(E629,Table18[Product],Table18[Cost_Price])</f>
        <v>105</v>
      </c>
      <c r="J629" s="10">
        <v>19</v>
      </c>
      <c r="K629" s="10">
        <f t="shared" si="28"/>
        <v>1031</v>
      </c>
      <c r="L629" s="10">
        <f t="shared" si="29"/>
        <v>506</v>
      </c>
      <c r="M629" t="s">
        <v>61</v>
      </c>
      <c r="N629" t="s">
        <v>54</v>
      </c>
      <c r="O629" t="s">
        <v>59</v>
      </c>
      <c r="P629">
        <v>3</v>
      </c>
    </row>
    <row r="630" spans="1:16" x14ac:dyDescent="0.25">
      <c r="A630" t="str">
        <f t="shared" si="27"/>
        <v>ORD0629</v>
      </c>
      <c r="B630" s="3">
        <v>46345</v>
      </c>
      <c r="C630" t="s">
        <v>85</v>
      </c>
      <c r="D630" t="s">
        <v>56</v>
      </c>
      <c r="E630" t="s">
        <v>16</v>
      </c>
      <c r="F630" t="s">
        <v>17</v>
      </c>
      <c r="G630">
        <v>2</v>
      </c>
      <c r="H630" s="10">
        <f>_xlfn.XLOOKUP(E630,Table18[Product],Table18[Unit_Price])</f>
        <v>120</v>
      </c>
      <c r="I630" s="10">
        <f>_xlfn.XLOOKUP(E630,Table18[Product],Table18[Cost_Price])</f>
        <v>60</v>
      </c>
      <c r="J630" s="10">
        <v>11</v>
      </c>
      <c r="K630" s="10">
        <f t="shared" si="28"/>
        <v>229</v>
      </c>
      <c r="L630" s="10">
        <f t="shared" si="29"/>
        <v>109</v>
      </c>
      <c r="M630" t="s">
        <v>49</v>
      </c>
      <c r="N630" t="s">
        <v>54</v>
      </c>
      <c r="O630" t="s">
        <v>62</v>
      </c>
      <c r="P630">
        <v>5</v>
      </c>
    </row>
    <row r="631" spans="1:16" x14ac:dyDescent="0.25">
      <c r="A631" t="str">
        <f t="shared" si="27"/>
        <v>ORD0630</v>
      </c>
      <c r="B631" s="3">
        <v>46239</v>
      </c>
      <c r="C631" t="s">
        <v>104</v>
      </c>
      <c r="D631" t="s">
        <v>68</v>
      </c>
      <c r="E631" t="s">
        <v>21</v>
      </c>
      <c r="F631" t="s">
        <v>17</v>
      </c>
      <c r="G631">
        <v>5</v>
      </c>
      <c r="H631" s="10">
        <f>_xlfn.XLOOKUP(E631,Table18[Product],Table18[Unit_Price])</f>
        <v>220</v>
      </c>
      <c r="I631" s="10">
        <f>_xlfn.XLOOKUP(E631,Table18[Product],Table18[Cost_Price])</f>
        <v>110</v>
      </c>
      <c r="J631" s="10">
        <v>38</v>
      </c>
      <c r="K631" s="10">
        <f t="shared" si="28"/>
        <v>1062</v>
      </c>
      <c r="L631" s="10">
        <f t="shared" si="29"/>
        <v>512</v>
      </c>
      <c r="M631" t="s">
        <v>49</v>
      </c>
      <c r="N631" t="s">
        <v>54</v>
      </c>
      <c r="O631" t="s">
        <v>71</v>
      </c>
      <c r="P631">
        <v>5</v>
      </c>
    </row>
    <row r="632" spans="1:16" x14ac:dyDescent="0.25">
      <c r="A632" t="str">
        <f t="shared" si="27"/>
        <v>ORD0631</v>
      </c>
      <c r="B632" s="3">
        <v>46321</v>
      </c>
      <c r="C632" t="s">
        <v>81</v>
      </c>
      <c r="D632" t="s">
        <v>70</v>
      </c>
      <c r="E632" t="s">
        <v>25</v>
      </c>
      <c r="F632" t="s">
        <v>26</v>
      </c>
      <c r="G632">
        <v>4</v>
      </c>
      <c r="H632" s="10">
        <f>_xlfn.XLOOKUP(E632,Table18[Product],Table18[Unit_Price])</f>
        <v>170</v>
      </c>
      <c r="I632" s="10">
        <f>_xlfn.XLOOKUP(E632,Table18[Product],Table18[Cost_Price])</f>
        <v>85</v>
      </c>
      <c r="J632" s="10">
        <v>42</v>
      </c>
      <c r="K632" s="10">
        <f t="shared" si="28"/>
        <v>638</v>
      </c>
      <c r="L632" s="10">
        <f t="shared" si="29"/>
        <v>298</v>
      </c>
      <c r="M632" t="s">
        <v>64</v>
      </c>
      <c r="N632" t="s">
        <v>54</v>
      </c>
      <c r="O632" t="s">
        <v>59</v>
      </c>
      <c r="P632">
        <v>3</v>
      </c>
    </row>
    <row r="633" spans="1:16" x14ac:dyDescent="0.25">
      <c r="A633" t="str">
        <f t="shared" si="27"/>
        <v>ORD0632</v>
      </c>
      <c r="B633" s="3">
        <v>46267</v>
      </c>
      <c r="C633" t="s">
        <v>99</v>
      </c>
      <c r="D633" t="s">
        <v>74</v>
      </c>
      <c r="E633" t="s">
        <v>41</v>
      </c>
      <c r="F633" t="s">
        <v>40</v>
      </c>
      <c r="G633">
        <v>3</v>
      </c>
      <c r="H633" s="10">
        <f>_xlfn.XLOOKUP(E633,Table18[Product],Table18[Unit_Price])</f>
        <v>100</v>
      </c>
      <c r="I633" s="10">
        <f>_xlfn.XLOOKUP(E633,Table18[Product],Table18[Cost_Price])</f>
        <v>50</v>
      </c>
      <c r="J633" s="10">
        <v>2</v>
      </c>
      <c r="K633" s="10">
        <f t="shared" si="28"/>
        <v>298</v>
      </c>
      <c r="L633" s="10">
        <f t="shared" si="29"/>
        <v>148</v>
      </c>
      <c r="M633" t="s">
        <v>64</v>
      </c>
      <c r="N633" t="s">
        <v>58</v>
      </c>
      <c r="O633" t="s">
        <v>55</v>
      </c>
      <c r="P633">
        <v>5</v>
      </c>
    </row>
    <row r="634" spans="1:16" x14ac:dyDescent="0.25">
      <c r="A634" t="str">
        <f t="shared" si="27"/>
        <v>ORD0633</v>
      </c>
      <c r="B634" s="3">
        <v>46217</v>
      </c>
      <c r="C634" t="s">
        <v>78</v>
      </c>
      <c r="D634" t="s">
        <v>70</v>
      </c>
      <c r="E634" t="s">
        <v>32</v>
      </c>
      <c r="F634" t="s">
        <v>31</v>
      </c>
      <c r="G634">
        <v>1</v>
      </c>
      <c r="H634" s="10">
        <f>_xlfn.XLOOKUP(E634,Table18[Product],Table18[Unit_Price])</f>
        <v>130</v>
      </c>
      <c r="I634" s="10">
        <f>_xlfn.XLOOKUP(E634,Table18[Product],Table18[Cost_Price])</f>
        <v>65</v>
      </c>
      <c r="J634" s="10">
        <v>14</v>
      </c>
      <c r="K634" s="10">
        <f t="shared" si="28"/>
        <v>116</v>
      </c>
      <c r="L634" s="10">
        <f t="shared" si="29"/>
        <v>51</v>
      </c>
      <c r="M634" t="s">
        <v>64</v>
      </c>
      <c r="N634" t="s">
        <v>54</v>
      </c>
      <c r="O634" t="s">
        <v>69</v>
      </c>
      <c r="P634">
        <v>3</v>
      </c>
    </row>
    <row r="635" spans="1:16" x14ac:dyDescent="0.25">
      <c r="A635" t="str">
        <f t="shared" si="27"/>
        <v>ORD0634</v>
      </c>
      <c r="B635" s="3">
        <v>46371</v>
      </c>
      <c r="C635" t="s">
        <v>99</v>
      </c>
      <c r="D635" t="s">
        <v>52</v>
      </c>
      <c r="E635" t="s">
        <v>27</v>
      </c>
      <c r="F635" t="s">
        <v>28</v>
      </c>
      <c r="G635">
        <v>2</v>
      </c>
      <c r="H635" s="10">
        <f>_xlfn.XLOOKUP(E635,Table18[Product],Table18[Unit_Price])</f>
        <v>140</v>
      </c>
      <c r="I635" s="10">
        <f>_xlfn.XLOOKUP(E635,Table18[Product],Table18[Cost_Price])</f>
        <v>70</v>
      </c>
      <c r="J635" s="10">
        <v>42</v>
      </c>
      <c r="K635" s="10">
        <f t="shared" si="28"/>
        <v>238</v>
      </c>
      <c r="L635" s="10">
        <f t="shared" si="29"/>
        <v>98</v>
      </c>
      <c r="M635" t="s">
        <v>64</v>
      </c>
      <c r="N635" t="s">
        <v>58</v>
      </c>
      <c r="O635" t="s">
        <v>75</v>
      </c>
      <c r="P635">
        <v>4</v>
      </c>
    </row>
    <row r="636" spans="1:16" x14ac:dyDescent="0.25">
      <c r="A636" t="str">
        <f t="shared" si="27"/>
        <v>ORD0635</v>
      </c>
      <c r="B636" s="3">
        <v>46327</v>
      </c>
      <c r="C636" t="s">
        <v>78</v>
      </c>
      <c r="D636" t="s">
        <v>66</v>
      </c>
      <c r="E636" t="s">
        <v>29</v>
      </c>
      <c r="F636" t="s">
        <v>28</v>
      </c>
      <c r="G636">
        <v>4</v>
      </c>
      <c r="H636" s="10">
        <f>_xlfn.XLOOKUP(E636,Table18[Product],Table18[Unit_Price])</f>
        <v>120</v>
      </c>
      <c r="I636" s="10">
        <f>_xlfn.XLOOKUP(E636,Table18[Product],Table18[Cost_Price])</f>
        <v>60</v>
      </c>
      <c r="J636" s="10">
        <v>29</v>
      </c>
      <c r="K636" s="10">
        <f t="shared" si="28"/>
        <v>451</v>
      </c>
      <c r="L636" s="10">
        <f t="shared" si="29"/>
        <v>211</v>
      </c>
      <c r="M636" t="s">
        <v>61</v>
      </c>
      <c r="N636" t="s">
        <v>50</v>
      </c>
      <c r="O636" t="s">
        <v>51</v>
      </c>
      <c r="P636">
        <v>5</v>
      </c>
    </row>
    <row r="637" spans="1:16" x14ac:dyDescent="0.25">
      <c r="A637" t="str">
        <f t="shared" si="27"/>
        <v>ORD0636</v>
      </c>
      <c r="B637" s="3">
        <v>46302</v>
      </c>
      <c r="C637" t="s">
        <v>96</v>
      </c>
      <c r="D637" t="s">
        <v>63</v>
      </c>
      <c r="E637" t="s">
        <v>39</v>
      </c>
      <c r="F637" t="s">
        <v>40</v>
      </c>
      <c r="G637">
        <v>2</v>
      </c>
      <c r="H637" s="10">
        <f>_xlfn.XLOOKUP(E637,Table18[Product],Table18[Unit_Price])</f>
        <v>240</v>
      </c>
      <c r="I637" s="10">
        <f>_xlfn.XLOOKUP(E637,Table18[Product],Table18[Cost_Price])</f>
        <v>120</v>
      </c>
      <c r="J637" s="10">
        <v>26</v>
      </c>
      <c r="K637" s="10">
        <f t="shared" si="28"/>
        <v>454</v>
      </c>
      <c r="L637" s="10">
        <f t="shared" si="29"/>
        <v>214</v>
      </c>
      <c r="M637" t="s">
        <v>53</v>
      </c>
      <c r="N637" t="s">
        <v>54</v>
      </c>
      <c r="O637" t="s">
        <v>73</v>
      </c>
      <c r="P637">
        <v>3</v>
      </c>
    </row>
    <row r="638" spans="1:16" x14ac:dyDescent="0.25">
      <c r="A638" t="str">
        <f t="shared" si="27"/>
        <v>ORD0637</v>
      </c>
      <c r="B638" s="3">
        <v>46183</v>
      </c>
      <c r="C638" t="s">
        <v>89</v>
      </c>
      <c r="D638" t="s">
        <v>70</v>
      </c>
      <c r="E638" t="s">
        <v>38</v>
      </c>
      <c r="F638" t="s">
        <v>35</v>
      </c>
      <c r="G638">
        <v>5</v>
      </c>
      <c r="H638" s="10">
        <f>_xlfn.XLOOKUP(E638,Table18[Product],Table18[Unit_Price])</f>
        <v>170</v>
      </c>
      <c r="I638" s="10">
        <f>_xlfn.XLOOKUP(E638,Table18[Product],Table18[Cost_Price])</f>
        <v>85</v>
      </c>
      <c r="J638" s="10">
        <v>16</v>
      </c>
      <c r="K638" s="10">
        <f t="shared" si="28"/>
        <v>834</v>
      </c>
      <c r="L638" s="10">
        <f t="shared" si="29"/>
        <v>409</v>
      </c>
      <c r="M638" t="s">
        <v>61</v>
      </c>
      <c r="N638" t="s">
        <v>50</v>
      </c>
      <c r="O638" t="s">
        <v>75</v>
      </c>
      <c r="P638">
        <v>4</v>
      </c>
    </row>
    <row r="639" spans="1:16" x14ac:dyDescent="0.25">
      <c r="A639" t="str">
        <f t="shared" si="27"/>
        <v>ORD0638</v>
      </c>
      <c r="B639" s="3">
        <v>46311</v>
      </c>
      <c r="C639" t="s">
        <v>104</v>
      </c>
      <c r="D639" t="s">
        <v>56</v>
      </c>
      <c r="E639" t="s">
        <v>29</v>
      </c>
      <c r="F639" t="s">
        <v>28</v>
      </c>
      <c r="G639">
        <v>3</v>
      </c>
      <c r="H639" s="10">
        <f>_xlfn.XLOOKUP(E639,Table18[Product],Table18[Unit_Price])</f>
        <v>120</v>
      </c>
      <c r="I639" s="10">
        <f>_xlfn.XLOOKUP(E639,Table18[Product],Table18[Cost_Price])</f>
        <v>60</v>
      </c>
      <c r="J639" s="10">
        <v>21</v>
      </c>
      <c r="K639" s="10">
        <f t="shared" si="28"/>
        <v>339</v>
      </c>
      <c r="L639" s="10">
        <f t="shared" si="29"/>
        <v>159</v>
      </c>
      <c r="M639" t="s">
        <v>64</v>
      </c>
      <c r="N639" t="s">
        <v>54</v>
      </c>
      <c r="O639" t="s">
        <v>62</v>
      </c>
      <c r="P639">
        <v>5</v>
      </c>
    </row>
    <row r="640" spans="1:16" x14ac:dyDescent="0.25">
      <c r="A640" t="str">
        <f t="shared" si="27"/>
        <v>ORD0639</v>
      </c>
      <c r="B640" s="3">
        <v>46079</v>
      </c>
      <c r="C640" t="s">
        <v>87</v>
      </c>
      <c r="D640" t="s">
        <v>52</v>
      </c>
      <c r="E640" t="s">
        <v>27</v>
      </c>
      <c r="F640" t="s">
        <v>28</v>
      </c>
      <c r="G640">
        <v>5</v>
      </c>
      <c r="H640" s="10">
        <f>_xlfn.XLOOKUP(E640,Table18[Product],Table18[Unit_Price])</f>
        <v>140</v>
      </c>
      <c r="I640" s="10">
        <f>_xlfn.XLOOKUP(E640,Table18[Product],Table18[Cost_Price])</f>
        <v>70</v>
      </c>
      <c r="J640" s="10">
        <v>11</v>
      </c>
      <c r="K640" s="10">
        <f t="shared" si="28"/>
        <v>689</v>
      </c>
      <c r="L640" s="10">
        <f t="shared" si="29"/>
        <v>339</v>
      </c>
      <c r="M640" t="s">
        <v>64</v>
      </c>
      <c r="N640" t="s">
        <v>50</v>
      </c>
      <c r="O640" t="s">
        <v>51</v>
      </c>
      <c r="P640">
        <v>5</v>
      </c>
    </row>
    <row r="641" spans="1:16" x14ac:dyDescent="0.25">
      <c r="A641" t="str">
        <f t="shared" si="27"/>
        <v>ORD0640</v>
      </c>
      <c r="B641" s="3">
        <v>46288</v>
      </c>
      <c r="C641" t="s">
        <v>93</v>
      </c>
      <c r="D641" t="s">
        <v>68</v>
      </c>
      <c r="E641" t="s">
        <v>16</v>
      </c>
      <c r="F641" t="s">
        <v>17</v>
      </c>
      <c r="G641">
        <v>2</v>
      </c>
      <c r="H641" s="10">
        <f>_xlfn.XLOOKUP(E641,Table18[Product],Table18[Unit_Price])</f>
        <v>120</v>
      </c>
      <c r="I641" s="10">
        <f>_xlfn.XLOOKUP(E641,Table18[Product],Table18[Cost_Price])</f>
        <v>60</v>
      </c>
      <c r="J641" s="10">
        <v>14</v>
      </c>
      <c r="K641" s="10">
        <f t="shared" si="28"/>
        <v>226</v>
      </c>
      <c r="L641" s="10">
        <f t="shared" si="29"/>
        <v>106</v>
      </c>
      <c r="M641" t="s">
        <v>53</v>
      </c>
      <c r="N641" t="s">
        <v>54</v>
      </c>
      <c r="O641" t="s">
        <v>69</v>
      </c>
      <c r="P641">
        <v>5</v>
      </c>
    </row>
    <row r="642" spans="1:16" x14ac:dyDescent="0.25">
      <c r="A642" t="str">
        <f t="shared" si="27"/>
        <v>ORD0641</v>
      </c>
      <c r="B642" s="3">
        <v>46068</v>
      </c>
      <c r="C642" t="s">
        <v>83</v>
      </c>
      <c r="D642" t="s">
        <v>66</v>
      </c>
      <c r="E642" t="s">
        <v>34</v>
      </c>
      <c r="F642" t="s">
        <v>35</v>
      </c>
      <c r="G642">
        <v>3</v>
      </c>
      <c r="H642" s="10">
        <f>_xlfn.XLOOKUP(E642,Table18[Product],Table18[Unit_Price])</f>
        <v>180</v>
      </c>
      <c r="I642" s="10">
        <f>_xlfn.XLOOKUP(E642,Table18[Product],Table18[Cost_Price])</f>
        <v>90</v>
      </c>
      <c r="J642" s="10">
        <v>50</v>
      </c>
      <c r="K642" s="10">
        <f t="shared" si="28"/>
        <v>490</v>
      </c>
      <c r="L642" s="10">
        <f t="shared" si="29"/>
        <v>220</v>
      </c>
      <c r="M642" t="s">
        <v>57</v>
      </c>
      <c r="N642" t="s">
        <v>58</v>
      </c>
      <c r="O642" t="s">
        <v>51</v>
      </c>
      <c r="P642">
        <v>4</v>
      </c>
    </row>
    <row r="643" spans="1:16" x14ac:dyDescent="0.25">
      <c r="A643" t="str">
        <f t="shared" ref="A643:A706" si="30">"ORD"&amp;TEXT(ROW()-1,"0000")</f>
        <v>ORD0642</v>
      </c>
      <c r="B643" s="3">
        <v>46345</v>
      </c>
      <c r="C643" t="s">
        <v>86</v>
      </c>
      <c r="D643" t="s">
        <v>63</v>
      </c>
      <c r="E643" t="s">
        <v>18</v>
      </c>
      <c r="F643" t="s">
        <v>17</v>
      </c>
      <c r="G643">
        <v>2</v>
      </c>
      <c r="H643" s="10">
        <f>_xlfn.XLOOKUP(E643,Table18[Product],Table18[Unit_Price])</f>
        <v>180</v>
      </c>
      <c r="I643" s="10">
        <f>_xlfn.XLOOKUP(E643,Table18[Product],Table18[Cost_Price])</f>
        <v>90</v>
      </c>
      <c r="J643" s="10">
        <v>14</v>
      </c>
      <c r="K643" s="10">
        <f t="shared" ref="K643:K706" si="31">(G643*H643)-J643</f>
        <v>346</v>
      </c>
      <c r="L643" s="10">
        <f t="shared" ref="L643:L706" si="32">K643-(G643*I643)</f>
        <v>166</v>
      </c>
      <c r="M643" t="s">
        <v>61</v>
      </c>
      <c r="N643" t="s">
        <v>54</v>
      </c>
      <c r="O643" t="s">
        <v>51</v>
      </c>
      <c r="P643">
        <v>3</v>
      </c>
    </row>
    <row r="644" spans="1:16" x14ac:dyDescent="0.25">
      <c r="A644" t="str">
        <f t="shared" si="30"/>
        <v>ORD0643</v>
      </c>
      <c r="B644" s="3">
        <v>46279</v>
      </c>
      <c r="C644" t="s">
        <v>86</v>
      </c>
      <c r="D644" t="s">
        <v>56</v>
      </c>
      <c r="E644" t="s">
        <v>18</v>
      </c>
      <c r="F644" t="s">
        <v>17</v>
      </c>
      <c r="G644">
        <v>1</v>
      </c>
      <c r="H644" s="10">
        <f>_xlfn.XLOOKUP(E644,Table18[Product],Table18[Unit_Price])</f>
        <v>180</v>
      </c>
      <c r="I644" s="10">
        <f>_xlfn.XLOOKUP(E644,Table18[Product],Table18[Cost_Price])</f>
        <v>90</v>
      </c>
      <c r="J644" s="10">
        <v>7</v>
      </c>
      <c r="K644" s="10">
        <f t="shared" si="31"/>
        <v>173</v>
      </c>
      <c r="L644" s="10">
        <f t="shared" si="32"/>
        <v>83</v>
      </c>
      <c r="M644" t="s">
        <v>53</v>
      </c>
      <c r="N644" t="s">
        <v>50</v>
      </c>
      <c r="O644" t="s">
        <v>69</v>
      </c>
      <c r="P644">
        <v>4</v>
      </c>
    </row>
    <row r="645" spans="1:16" x14ac:dyDescent="0.25">
      <c r="A645" t="str">
        <f t="shared" si="30"/>
        <v>ORD0644</v>
      </c>
      <c r="B645" s="3">
        <v>46116</v>
      </c>
      <c r="C645" t="s">
        <v>92</v>
      </c>
      <c r="D645" t="s">
        <v>48</v>
      </c>
      <c r="E645" t="s">
        <v>42</v>
      </c>
      <c r="F645" t="s">
        <v>40</v>
      </c>
      <c r="G645">
        <v>2</v>
      </c>
      <c r="H645" s="10">
        <f>_xlfn.XLOOKUP(E645,Table18[Product],Table18[Unit_Price])</f>
        <v>80</v>
      </c>
      <c r="I645" s="10">
        <f>_xlfn.XLOOKUP(E645,Table18[Product],Table18[Cost_Price])</f>
        <v>40</v>
      </c>
      <c r="J645" s="10">
        <v>41</v>
      </c>
      <c r="K645" s="10">
        <f t="shared" si="31"/>
        <v>119</v>
      </c>
      <c r="L645" s="10">
        <f t="shared" si="32"/>
        <v>39</v>
      </c>
      <c r="M645" t="s">
        <v>49</v>
      </c>
      <c r="N645" t="s">
        <v>58</v>
      </c>
      <c r="O645" t="s">
        <v>65</v>
      </c>
      <c r="P645">
        <v>4</v>
      </c>
    </row>
    <row r="646" spans="1:16" x14ac:dyDescent="0.25">
      <c r="A646" t="str">
        <f t="shared" si="30"/>
        <v>ORD0645</v>
      </c>
      <c r="B646" s="3">
        <v>46025</v>
      </c>
      <c r="C646" t="s">
        <v>82</v>
      </c>
      <c r="D646" t="s">
        <v>74</v>
      </c>
      <c r="E646" t="s">
        <v>29</v>
      </c>
      <c r="F646" t="s">
        <v>28</v>
      </c>
      <c r="G646">
        <v>5</v>
      </c>
      <c r="H646" s="10">
        <f>_xlfn.XLOOKUP(E646,Table18[Product],Table18[Unit_Price])</f>
        <v>120</v>
      </c>
      <c r="I646" s="10">
        <f>_xlfn.XLOOKUP(E646,Table18[Product],Table18[Cost_Price])</f>
        <v>60</v>
      </c>
      <c r="J646" s="10">
        <v>27</v>
      </c>
      <c r="K646" s="10">
        <f t="shared" si="31"/>
        <v>573</v>
      </c>
      <c r="L646" s="10">
        <f t="shared" si="32"/>
        <v>273</v>
      </c>
      <c r="M646" t="s">
        <v>61</v>
      </c>
      <c r="N646" t="s">
        <v>50</v>
      </c>
      <c r="O646" t="s">
        <v>51</v>
      </c>
      <c r="P646">
        <v>4</v>
      </c>
    </row>
    <row r="647" spans="1:16" x14ac:dyDescent="0.25">
      <c r="A647" t="str">
        <f t="shared" si="30"/>
        <v>ORD0646</v>
      </c>
      <c r="B647" s="3">
        <v>46138</v>
      </c>
      <c r="C647" t="s">
        <v>93</v>
      </c>
      <c r="D647" t="s">
        <v>60</v>
      </c>
      <c r="E647" t="s">
        <v>16</v>
      </c>
      <c r="F647" t="s">
        <v>17</v>
      </c>
      <c r="G647">
        <v>4</v>
      </c>
      <c r="H647" s="10">
        <f>_xlfn.XLOOKUP(E647,Table18[Product],Table18[Unit_Price])</f>
        <v>120</v>
      </c>
      <c r="I647" s="10">
        <f>_xlfn.XLOOKUP(E647,Table18[Product],Table18[Cost_Price])</f>
        <v>60</v>
      </c>
      <c r="J647" s="10">
        <v>32</v>
      </c>
      <c r="K647" s="10">
        <f t="shared" si="31"/>
        <v>448</v>
      </c>
      <c r="L647" s="10">
        <f t="shared" si="32"/>
        <v>208</v>
      </c>
      <c r="M647" t="s">
        <v>57</v>
      </c>
      <c r="N647" t="s">
        <v>50</v>
      </c>
      <c r="O647" t="s">
        <v>65</v>
      </c>
      <c r="P647">
        <v>4</v>
      </c>
    </row>
    <row r="648" spans="1:16" x14ac:dyDescent="0.25">
      <c r="A648" t="str">
        <f t="shared" si="30"/>
        <v>ORD0647</v>
      </c>
      <c r="B648" s="3">
        <v>46360</v>
      </c>
      <c r="C648" t="s">
        <v>77</v>
      </c>
      <c r="D648" t="s">
        <v>72</v>
      </c>
      <c r="E648" t="s">
        <v>27</v>
      </c>
      <c r="F648" t="s">
        <v>28</v>
      </c>
      <c r="G648">
        <v>5</v>
      </c>
      <c r="H648" s="10">
        <f>_xlfn.XLOOKUP(E648,Table18[Product],Table18[Unit_Price])</f>
        <v>140</v>
      </c>
      <c r="I648" s="10">
        <f>_xlfn.XLOOKUP(E648,Table18[Product],Table18[Cost_Price])</f>
        <v>70</v>
      </c>
      <c r="J648" s="10">
        <v>3</v>
      </c>
      <c r="K648" s="10">
        <f t="shared" si="31"/>
        <v>697</v>
      </c>
      <c r="L648" s="10">
        <f t="shared" si="32"/>
        <v>347</v>
      </c>
      <c r="M648" t="s">
        <v>61</v>
      </c>
      <c r="N648" t="s">
        <v>54</v>
      </c>
      <c r="O648" t="s">
        <v>75</v>
      </c>
      <c r="P648">
        <v>4</v>
      </c>
    </row>
    <row r="649" spans="1:16" x14ac:dyDescent="0.25">
      <c r="A649" t="str">
        <f t="shared" si="30"/>
        <v>ORD0648</v>
      </c>
      <c r="B649" s="3">
        <v>46228</v>
      </c>
      <c r="C649" t="s">
        <v>100</v>
      </c>
      <c r="D649" t="s">
        <v>66</v>
      </c>
      <c r="E649" t="s">
        <v>19</v>
      </c>
      <c r="F649" t="s">
        <v>17</v>
      </c>
      <c r="G649">
        <v>4</v>
      </c>
      <c r="H649" s="10">
        <f>_xlfn.XLOOKUP(E649,Table18[Product],Table18[Unit_Price])</f>
        <v>200</v>
      </c>
      <c r="I649" s="10">
        <f>_xlfn.XLOOKUP(E649,Table18[Product],Table18[Cost_Price])</f>
        <v>100</v>
      </c>
      <c r="J649" s="10">
        <v>48</v>
      </c>
      <c r="K649" s="10">
        <f t="shared" si="31"/>
        <v>752</v>
      </c>
      <c r="L649" s="10">
        <f t="shared" si="32"/>
        <v>352</v>
      </c>
      <c r="M649" t="s">
        <v>53</v>
      </c>
      <c r="N649" t="s">
        <v>58</v>
      </c>
      <c r="O649" t="s">
        <v>51</v>
      </c>
      <c r="P649">
        <v>3</v>
      </c>
    </row>
    <row r="650" spans="1:16" x14ac:dyDescent="0.25">
      <c r="A650" t="str">
        <f t="shared" si="30"/>
        <v>ORD0649</v>
      </c>
      <c r="B650" s="3">
        <v>46306</v>
      </c>
      <c r="C650" t="s">
        <v>85</v>
      </c>
      <c r="D650" t="s">
        <v>68</v>
      </c>
      <c r="E650" t="s">
        <v>30</v>
      </c>
      <c r="F650" t="s">
        <v>31</v>
      </c>
      <c r="G650">
        <v>1</v>
      </c>
      <c r="H650" s="10">
        <f>_xlfn.XLOOKUP(E650,Table18[Product],Table18[Unit_Price])</f>
        <v>110</v>
      </c>
      <c r="I650" s="10">
        <f>_xlfn.XLOOKUP(E650,Table18[Product],Table18[Cost_Price])</f>
        <v>55</v>
      </c>
      <c r="J650" s="10">
        <v>44</v>
      </c>
      <c r="K650" s="10">
        <f t="shared" si="31"/>
        <v>66</v>
      </c>
      <c r="L650" s="10">
        <f t="shared" si="32"/>
        <v>11</v>
      </c>
      <c r="M650" t="s">
        <v>57</v>
      </c>
      <c r="N650" t="s">
        <v>50</v>
      </c>
      <c r="O650" t="s">
        <v>71</v>
      </c>
      <c r="P650">
        <v>5</v>
      </c>
    </row>
    <row r="651" spans="1:16" x14ac:dyDescent="0.25">
      <c r="A651" t="str">
        <f t="shared" si="30"/>
        <v>ORD0650</v>
      </c>
      <c r="B651" s="3">
        <v>46107</v>
      </c>
      <c r="C651" t="s">
        <v>89</v>
      </c>
      <c r="D651" t="s">
        <v>74</v>
      </c>
      <c r="E651" t="s">
        <v>34</v>
      </c>
      <c r="F651" t="s">
        <v>35</v>
      </c>
      <c r="G651">
        <v>4</v>
      </c>
      <c r="H651" s="10">
        <f>_xlfn.XLOOKUP(E651,Table18[Product],Table18[Unit_Price])</f>
        <v>180</v>
      </c>
      <c r="I651" s="10">
        <f>_xlfn.XLOOKUP(E651,Table18[Product],Table18[Cost_Price])</f>
        <v>90</v>
      </c>
      <c r="J651" s="10">
        <v>36</v>
      </c>
      <c r="K651" s="10">
        <f t="shared" si="31"/>
        <v>684</v>
      </c>
      <c r="L651" s="10">
        <f t="shared" si="32"/>
        <v>324</v>
      </c>
      <c r="M651" t="s">
        <v>61</v>
      </c>
      <c r="N651" t="s">
        <v>54</v>
      </c>
      <c r="O651" t="s">
        <v>69</v>
      </c>
      <c r="P651">
        <v>3</v>
      </c>
    </row>
    <row r="652" spans="1:16" x14ac:dyDescent="0.25">
      <c r="A652" t="str">
        <f t="shared" si="30"/>
        <v>ORD0651</v>
      </c>
      <c r="B652" s="3">
        <v>46288</v>
      </c>
      <c r="C652" t="s">
        <v>83</v>
      </c>
      <c r="D652" t="s">
        <v>48</v>
      </c>
      <c r="E652" t="s">
        <v>36</v>
      </c>
      <c r="F652" t="s">
        <v>35</v>
      </c>
      <c r="G652">
        <v>5</v>
      </c>
      <c r="H652" s="10">
        <f>_xlfn.XLOOKUP(E652,Table18[Product],Table18[Unit_Price])</f>
        <v>220</v>
      </c>
      <c r="I652" s="10">
        <f>_xlfn.XLOOKUP(E652,Table18[Product],Table18[Cost_Price])</f>
        <v>110</v>
      </c>
      <c r="J652" s="10">
        <v>37</v>
      </c>
      <c r="K652" s="10">
        <f t="shared" si="31"/>
        <v>1063</v>
      </c>
      <c r="L652" s="10">
        <f t="shared" si="32"/>
        <v>513</v>
      </c>
      <c r="M652" t="s">
        <v>57</v>
      </c>
      <c r="N652" t="s">
        <v>50</v>
      </c>
      <c r="O652" t="s">
        <v>55</v>
      </c>
      <c r="P652">
        <v>5</v>
      </c>
    </row>
    <row r="653" spans="1:16" x14ac:dyDescent="0.25">
      <c r="A653" t="str">
        <f t="shared" si="30"/>
        <v>ORD0652</v>
      </c>
      <c r="B653" s="3">
        <v>46175</v>
      </c>
      <c r="C653" t="s">
        <v>87</v>
      </c>
      <c r="D653" t="s">
        <v>68</v>
      </c>
      <c r="E653" t="s">
        <v>33</v>
      </c>
      <c r="F653" t="s">
        <v>31</v>
      </c>
      <c r="G653">
        <v>4</v>
      </c>
      <c r="H653" s="10">
        <f>_xlfn.XLOOKUP(E653,Table18[Product],Table18[Unit_Price])</f>
        <v>150</v>
      </c>
      <c r="I653" s="10">
        <f>_xlfn.XLOOKUP(E653,Table18[Product],Table18[Cost_Price])</f>
        <v>75</v>
      </c>
      <c r="J653" s="10">
        <v>10</v>
      </c>
      <c r="K653" s="10">
        <f t="shared" si="31"/>
        <v>590</v>
      </c>
      <c r="L653" s="10">
        <f t="shared" si="32"/>
        <v>290</v>
      </c>
      <c r="M653" t="s">
        <v>61</v>
      </c>
      <c r="N653" t="s">
        <v>54</v>
      </c>
      <c r="O653" t="s">
        <v>73</v>
      </c>
      <c r="P653">
        <v>5</v>
      </c>
    </row>
    <row r="654" spans="1:16" x14ac:dyDescent="0.25">
      <c r="A654" t="str">
        <f t="shared" si="30"/>
        <v>ORD0653</v>
      </c>
      <c r="B654" s="3">
        <v>46064</v>
      </c>
      <c r="C654" t="s">
        <v>76</v>
      </c>
      <c r="D654" t="s">
        <v>52</v>
      </c>
      <c r="E654" t="s">
        <v>24</v>
      </c>
      <c r="F654" t="s">
        <v>23</v>
      </c>
      <c r="G654">
        <v>2</v>
      </c>
      <c r="H654" s="10">
        <f>_xlfn.XLOOKUP(E654,Table18[Product],Table18[Unit_Price])</f>
        <v>210</v>
      </c>
      <c r="I654" s="10">
        <f>_xlfn.XLOOKUP(E654,Table18[Product],Table18[Cost_Price])</f>
        <v>105</v>
      </c>
      <c r="J654" s="10">
        <v>40</v>
      </c>
      <c r="K654" s="10">
        <f t="shared" si="31"/>
        <v>380</v>
      </c>
      <c r="L654" s="10">
        <f t="shared" si="32"/>
        <v>170</v>
      </c>
      <c r="M654" t="s">
        <v>61</v>
      </c>
      <c r="N654" t="s">
        <v>58</v>
      </c>
      <c r="O654" t="s">
        <v>69</v>
      </c>
      <c r="P654">
        <v>5</v>
      </c>
    </row>
    <row r="655" spans="1:16" x14ac:dyDescent="0.25">
      <c r="A655" t="str">
        <f t="shared" si="30"/>
        <v>ORD0654</v>
      </c>
      <c r="B655" s="3">
        <v>46049</v>
      </c>
      <c r="C655" t="s">
        <v>80</v>
      </c>
      <c r="D655" t="s">
        <v>56</v>
      </c>
      <c r="E655" t="s">
        <v>38</v>
      </c>
      <c r="F655" t="s">
        <v>35</v>
      </c>
      <c r="G655">
        <v>2</v>
      </c>
      <c r="H655" s="10">
        <f>_xlfn.XLOOKUP(E655,Table18[Product],Table18[Unit_Price])</f>
        <v>170</v>
      </c>
      <c r="I655" s="10">
        <f>_xlfn.XLOOKUP(E655,Table18[Product],Table18[Cost_Price])</f>
        <v>85</v>
      </c>
      <c r="J655" s="10">
        <v>18</v>
      </c>
      <c r="K655" s="10">
        <f t="shared" si="31"/>
        <v>322</v>
      </c>
      <c r="L655" s="10">
        <f t="shared" si="32"/>
        <v>152</v>
      </c>
      <c r="M655" t="s">
        <v>49</v>
      </c>
      <c r="N655" t="s">
        <v>50</v>
      </c>
      <c r="O655" t="s">
        <v>62</v>
      </c>
      <c r="P655">
        <v>3</v>
      </c>
    </row>
    <row r="656" spans="1:16" x14ac:dyDescent="0.25">
      <c r="A656" t="str">
        <f t="shared" si="30"/>
        <v>ORD0655</v>
      </c>
      <c r="B656" s="3">
        <v>46187</v>
      </c>
      <c r="C656" t="s">
        <v>99</v>
      </c>
      <c r="D656" t="s">
        <v>66</v>
      </c>
      <c r="E656" t="s">
        <v>34</v>
      </c>
      <c r="F656" t="s">
        <v>35</v>
      </c>
      <c r="G656">
        <v>4</v>
      </c>
      <c r="H656" s="10">
        <f>_xlfn.XLOOKUP(E656,Table18[Product],Table18[Unit_Price])</f>
        <v>180</v>
      </c>
      <c r="I656" s="10">
        <f>_xlfn.XLOOKUP(E656,Table18[Product],Table18[Cost_Price])</f>
        <v>90</v>
      </c>
      <c r="J656" s="10">
        <v>17</v>
      </c>
      <c r="K656" s="10">
        <f t="shared" si="31"/>
        <v>703</v>
      </c>
      <c r="L656" s="10">
        <f t="shared" si="32"/>
        <v>343</v>
      </c>
      <c r="M656" t="s">
        <v>57</v>
      </c>
      <c r="N656" t="s">
        <v>58</v>
      </c>
      <c r="O656" t="s">
        <v>62</v>
      </c>
      <c r="P656">
        <v>5</v>
      </c>
    </row>
    <row r="657" spans="1:16" x14ac:dyDescent="0.25">
      <c r="A657" t="str">
        <f t="shared" si="30"/>
        <v>ORD0656</v>
      </c>
      <c r="B657" s="3">
        <v>46330</v>
      </c>
      <c r="C657" t="s">
        <v>98</v>
      </c>
      <c r="D657" t="s">
        <v>66</v>
      </c>
      <c r="E657" t="s">
        <v>34</v>
      </c>
      <c r="F657" t="s">
        <v>35</v>
      </c>
      <c r="G657">
        <v>5</v>
      </c>
      <c r="H657" s="10">
        <f>_xlfn.XLOOKUP(E657,Table18[Product],Table18[Unit_Price])</f>
        <v>180</v>
      </c>
      <c r="I657" s="10">
        <f>_xlfn.XLOOKUP(E657,Table18[Product],Table18[Cost_Price])</f>
        <v>90</v>
      </c>
      <c r="J657" s="10">
        <v>7</v>
      </c>
      <c r="K657" s="10">
        <f t="shared" si="31"/>
        <v>893</v>
      </c>
      <c r="L657" s="10">
        <f t="shared" si="32"/>
        <v>443</v>
      </c>
      <c r="M657" t="s">
        <v>53</v>
      </c>
      <c r="N657" t="s">
        <v>54</v>
      </c>
      <c r="O657" t="s">
        <v>69</v>
      </c>
      <c r="P657">
        <v>4</v>
      </c>
    </row>
    <row r="658" spans="1:16" x14ac:dyDescent="0.25">
      <c r="A658" t="str">
        <f t="shared" si="30"/>
        <v>ORD0657</v>
      </c>
      <c r="B658" s="3">
        <v>46266</v>
      </c>
      <c r="C658" t="s">
        <v>99</v>
      </c>
      <c r="D658" t="s">
        <v>72</v>
      </c>
      <c r="E658" t="s">
        <v>32</v>
      </c>
      <c r="F658" t="s">
        <v>31</v>
      </c>
      <c r="G658">
        <v>4</v>
      </c>
      <c r="H658" s="10">
        <f>_xlfn.XLOOKUP(E658,Table18[Product],Table18[Unit_Price])</f>
        <v>130</v>
      </c>
      <c r="I658" s="10">
        <f>_xlfn.XLOOKUP(E658,Table18[Product],Table18[Cost_Price])</f>
        <v>65</v>
      </c>
      <c r="J658" s="10">
        <v>10</v>
      </c>
      <c r="K658" s="10">
        <f t="shared" si="31"/>
        <v>510</v>
      </c>
      <c r="L658" s="10">
        <f t="shared" si="32"/>
        <v>250</v>
      </c>
      <c r="M658" t="s">
        <v>61</v>
      </c>
      <c r="N658" t="s">
        <v>58</v>
      </c>
      <c r="O658" t="s">
        <v>59</v>
      </c>
      <c r="P658">
        <v>4</v>
      </c>
    </row>
    <row r="659" spans="1:16" x14ac:dyDescent="0.25">
      <c r="A659" t="str">
        <f t="shared" si="30"/>
        <v>ORD0658</v>
      </c>
      <c r="B659" s="3">
        <v>46026</v>
      </c>
      <c r="C659" t="s">
        <v>100</v>
      </c>
      <c r="D659" t="s">
        <v>63</v>
      </c>
      <c r="E659" t="s">
        <v>29</v>
      </c>
      <c r="F659" t="s">
        <v>28</v>
      </c>
      <c r="G659">
        <v>1</v>
      </c>
      <c r="H659" s="10">
        <f>_xlfn.XLOOKUP(E659,Table18[Product],Table18[Unit_Price])</f>
        <v>120</v>
      </c>
      <c r="I659" s="10">
        <f>_xlfn.XLOOKUP(E659,Table18[Product],Table18[Cost_Price])</f>
        <v>60</v>
      </c>
      <c r="J659" s="10">
        <v>26</v>
      </c>
      <c r="K659" s="10">
        <f t="shared" si="31"/>
        <v>94</v>
      </c>
      <c r="L659" s="10">
        <f t="shared" si="32"/>
        <v>34</v>
      </c>
      <c r="M659" t="s">
        <v>49</v>
      </c>
      <c r="N659" t="s">
        <v>50</v>
      </c>
      <c r="O659" t="s">
        <v>51</v>
      </c>
      <c r="P659">
        <v>4</v>
      </c>
    </row>
    <row r="660" spans="1:16" x14ac:dyDescent="0.25">
      <c r="A660" t="str">
        <f t="shared" si="30"/>
        <v>ORD0659</v>
      </c>
      <c r="B660" s="3">
        <v>46227</v>
      </c>
      <c r="C660" t="s">
        <v>94</v>
      </c>
      <c r="D660" t="s">
        <v>48</v>
      </c>
      <c r="E660" t="s">
        <v>32</v>
      </c>
      <c r="F660" t="s">
        <v>31</v>
      </c>
      <c r="G660">
        <v>4</v>
      </c>
      <c r="H660" s="10">
        <f>_xlfn.XLOOKUP(E660,Table18[Product],Table18[Unit_Price])</f>
        <v>130</v>
      </c>
      <c r="I660" s="10">
        <f>_xlfn.XLOOKUP(E660,Table18[Product],Table18[Cost_Price])</f>
        <v>65</v>
      </c>
      <c r="J660" s="10">
        <v>7</v>
      </c>
      <c r="K660" s="10">
        <f t="shared" si="31"/>
        <v>513</v>
      </c>
      <c r="L660" s="10">
        <f t="shared" si="32"/>
        <v>253</v>
      </c>
      <c r="M660" t="s">
        <v>53</v>
      </c>
      <c r="N660" t="s">
        <v>58</v>
      </c>
      <c r="O660" t="s">
        <v>51</v>
      </c>
      <c r="P660">
        <v>5</v>
      </c>
    </row>
    <row r="661" spans="1:16" x14ac:dyDescent="0.25">
      <c r="A661" t="str">
        <f t="shared" si="30"/>
        <v>ORD0660</v>
      </c>
      <c r="B661" s="3">
        <v>46329</v>
      </c>
      <c r="C661" t="s">
        <v>77</v>
      </c>
      <c r="D661" t="s">
        <v>56</v>
      </c>
      <c r="E661" t="s">
        <v>22</v>
      </c>
      <c r="F661" t="s">
        <v>23</v>
      </c>
      <c r="G661">
        <v>2</v>
      </c>
      <c r="H661" s="10">
        <f>_xlfn.XLOOKUP(E661,Table18[Product],Table18[Unit_Price])</f>
        <v>190</v>
      </c>
      <c r="I661" s="10">
        <f>_xlfn.XLOOKUP(E661,Table18[Product],Table18[Cost_Price])</f>
        <v>95</v>
      </c>
      <c r="J661" s="10">
        <v>11</v>
      </c>
      <c r="K661" s="10">
        <f t="shared" si="31"/>
        <v>369</v>
      </c>
      <c r="L661" s="10">
        <f t="shared" si="32"/>
        <v>179</v>
      </c>
      <c r="M661" t="s">
        <v>61</v>
      </c>
      <c r="N661" t="s">
        <v>54</v>
      </c>
      <c r="O661" t="s">
        <v>67</v>
      </c>
      <c r="P661">
        <v>4</v>
      </c>
    </row>
    <row r="662" spans="1:16" x14ac:dyDescent="0.25">
      <c r="A662" t="str">
        <f t="shared" si="30"/>
        <v>ORD0661</v>
      </c>
      <c r="B662" s="3">
        <v>46134</v>
      </c>
      <c r="C662" t="s">
        <v>93</v>
      </c>
      <c r="D662" t="s">
        <v>60</v>
      </c>
      <c r="E662" t="s">
        <v>16</v>
      </c>
      <c r="F662" t="s">
        <v>17</v>
      </c>
      <c r="G662">
        <v>2</v>
      </c>
      <c r="H662" s="10">
        <f>_xlfn.XLOOKUP(E662,Table18[Product],Table18[Unit_Price])</f>
        <v>120</v>
      </c>
      <c r="I662" s="10">
        <f>_xlfn.XLOOKUP(E662,Table18[Product],Table18[Cost_Price])</f>
        <v>60</v>
      </c>
      <c r="J662" s="10">
        <v>25</v>
      </c>
      <c r="K662" s="10">
        <f t="shared" si="31"/>
        <v>215</v>
      </c>
      <c r="L662" s="10">
        <f t="shared" si="32"/>
        <v>95</v>
      </c>
      <c r="M662" t="s">
        <v>61</v>
      </c>
      <c r="N662" t="s">
        <v>54</v>
      </c>
      <c r="O662" t="s">
        <v>73</v>
      </c>
      <c r="P662">
        <v>5</v>
      </c>
    </row>
    <row r="663" spans="1:16" x14ac:dyDescent="0.25">
      <c r="A663" t="str">
        <f t="shared" si="30"/>
        <v>ORD0662</v>
      </c>
      <c r="B663" s="3">
        <v>46182</v>
      </c>
      <c r="C663" t="s">
        <v>93</v>
      </c>
      <c r="D663" t="s">
        <v>63</v>
      </c>
      <c r="E663" t="s">
        <v>33</v>
      </c>
      <c r="F663" t="s">
        <v>31</v>
      </c>
      <c r="G663">
        <v>1</v>
      </c>
      <c r="H663" s="10">
        <f>_xlfn.XLOOKUP(E663,Table18[Product],Table18[Unit_Price])</f>
        <v>150</v>
      </c>
      <c r="I663" s="10">
        <f>_xlfn.XLOOKUP(E663,Table18[Product],Table18[Cost_Price])</f>
        <v>75</v>
      </c>
      <c r="J663" s="10">
        <v>22</v>
      </c>
      <c r="K663" s="10">
        <f t="shared" si="31"/>
        <v>128</v>
      </c>
      <c r="L663" s="10">
        <f t="shared" si="32"/>
        <v>53</v>
      </c>
      <c r="M663" t="s">
        <v>61</v>
      </c>
      <c r="N663" t="s">
        <v>54</v>
      </c>
      <c r="O663" t="s">
        <v>73</v>
      </c>
      <c r="P663">
        <v>5</v>
      </c>
    </row>
    <row r="664" spans="1:16" x14ac:dyDescent="0.25">
      <c r="A664" t="str">
        <f t="shared" si="30"/>
        <v>ORD0663</v>
      </c>
      <c r="B664" s="3">
        <v>46041</v>
      </c>
      <c r="C664" t="s">
        <v>82</v>
      </c>
      <c r="D664" t="s">
        <v>60</v>
      </c>
      <c r="E664" t="s">
        <v>32</v>
      </c>
      <c r="F664" t="s">
        <v>31</v>
      </c>
      <c r="G664">
        <v>1</v>
      </c>
      <c r="H664" s="10">
        <f>_xlfn.XLOOKUP(E664,Table18[Product],Table18[Unit_Price])</f>
        <v>130</v>
      </c>
      <c r="I664" s="10">
        <f>_xlfn.XLOOKUP(E664,Table18[Product],Table18[Cost_Price])</f>
        <v>65</v>
      </c>
      <c r="J664" s="10">
        <v>27</v>
      </c>
      <c r="K664" s="10">
        <f t="shared" si="31"/>
        <v>103</v>
      </c>
      <c r="L664" s="10">
        <f t="shared" si="32"/>
        <v>38</v>
      </c>
      <c r="M664" t="s">
        <v>53</v>
      </c>
      <c r="N664" t="s">
        <v>54</v>
      </c>
      <c r="O664" t="s">
        <v>73</v>
      </c>
      <c r="P664">
        <v>5</v>
      </c>
    </row>
    <row r="665" spans="1:16" x14ac:dyDescent="0.25">
      <c r="A665" t="str">
        <f t="shared" si="30"/>
        <v>ORD0664</v>
      </c>
      <c r="B665" s="3">
        <v>46209</v>
      </c>
      <c r="C665" t="s">
        <v>101</v>
      </c>
      <c r="D665" t="s">
        <v>72</v>
      </c>
      <c r="E665" t="s">
        <v>36</v>
      </c>
      <c r="F665" t="s">
        <v>35</v>
      </c>
      <c r="G665">
        <v>1</v>
      </c>
      <c r="H665" s="10">
        <f>_xlfn.XLOOKUP(E665,Table18[Product],Table18[Unit_Price])</f>
        <v>220</v>
      </c>
      <c r="I665" s="10">
        <f>_xlfn.XLOOKUP(E665,Table18[Product],Table18[Cost_Price])</f>
        <v>110</v>
      </c>
      <c r="J665" s="10">
        <v>23</v>
      </c>
      <c r="K665" s="10">
        <f t="shared" si="31"/>
        <v>197</v>
      </c>
      <c r="L665" s="10">
        <f t="shared" si="32"/>
        <v>87</v>
      </c>
      <c r="M665" t="s">
        <v>57</v>
      </c>
      <c r="N665" t="s">
        <v>58</v>
      </c>
      <c r="O665" t="s">
        <v>65</v>
      </c>
      <c r="P665">
        <v>4</v>
      </c>
    </row>
    <row r="666" spans="1:16" x14ac:dyDescent="0.25">
      <c r="A666" t="str">
        <f t="shared" si="30"/>
        <v>ORD0665</v>
      </c>
      <c r="B666" s="3">
        <v>46368</v>
      </c>
      <c r="C666" t="s">
        <v>76</v>
      </c>
      <c r="D666" t="s">
        <v>66</v>
      </c>
      <c r="E666" t="s">
        <v>30</v>
      </c>
      <c r="F666" t="s">
        <v>31</v>
      </c>
      <c r="G666">
        <v>2</v>
      </c>
      <c r="H666" s="10">
        <f>_xlfn.XLOOKUP(E666,Table18[Product],Table18[Unit_Price])</f>
        <v>110</v>
      </c>
      <c r="I666" s="10">
        <f>_xlfn.XLOOKUP(E666,Table18[Product],Table18[Cost_Price])</f>
        <v>55</v>
      </c>
      <c r="J666" s="10">
        <v>26</v>
      </c>
      <c r="K666" s="10">
        <f t="shared" si="31"/>
        <v>194</v>
      </c>
      <c r="L666" s="10">
        <f t="shared" si="32"/>
        <v>84</v>
      </c>
      <c r="M666" t="s">
        <v>49</v>
      </c>
      <c r="N666" t="s">
        <v>50</v>
      </c>
      <c r="O666" t="s">
        <v>73</v>
      </c>
      <c r="P666">
        <v>5</v>
      </c>
    </row>
    <row r="667" spans="1:16" x14ac:dyDescent="0.25">
      <c r="A667" t="str">
        <f t="shared" si="30"/>
        <v>ORD0666</v>
      </c>
      <c r="B667" s="3">
        <v>46231</v>
      </c>
      <c r="C667" t="s">
        <v>104</v>
      </c>
      <c r="D667" t="s">
        <v>48</v>
      </c>
      <c r="E667" t="s">
        <v>16</v>
      </c>
      <c r="F667" t="s">
        <v>17</v>
      </c>
      <c r="G667">
        <v>3</v>
      </c>
      <c r="H667" s="10">
        <f>_xlfn.XLOOKUP(E667,Table18[Product],Table18[Unit_Price])</f>
        <v>120</v>
      </c>
      <c r="I667" s="10">
        <f>_xlfn.XLOOKUP(E667,Table18[Product],Table18[Cost_Price])</f>
        <v>60</v>
      </c>
      <c r="J667" s="10">
        <v>28</v>
      </c>
      <c r="K667" s="10">
        <f t="shared" si="31"/>
        <v>332</v>
      </c>
      <c r="L667" s="10">
        <f t="shared" si="32"/>
        <v>152</v>
      </c>
      <c r="M667" t="s">
        <v>49</v>
      </c>
      <c r="N667" t="s">
        <v>58</v>
      </c>
      <c r="O667" t="s">
        <v>55</v>
      </c>
      <c r="P667">
        <v>3</v>
      </c>
    </row>
    <row r="668" spans="1:16" x14ac:dyDescent="0.25">
      <c r="A668" t="str">
        <f t="shared" si="30"/>
        <v>ORD0667</v>
      </c>
      <c r="B668" s="3">
        <v>46254</v>
      </c>
      <c r="C668" t="s">
        <v>104</v>
      </c>
      <c r="D668" t="s">
        <v>63</v>
      </c>
      <c r="E668" t="s">
        <v>34</v>
      </c>
      <c r="F668" t="s">
        <v>35</v>
      </c>
      <c r="G668">
        <v>4</v>
      </c>
      <c r="H668" s="10">
        <f>_xlfn.XLOOKUP(E668,Table18[Product],Table18[Unit_Price])</f>
        <v>180</v>
      </c>
      <c r="I668" s="10">
        <f>_xlfn.XLOOKUP(E668,Table18[Product],Table18[Cost_Price])</f>
        <v>90</v>
      </c>
      <c r="J668" s="10">
        <v>0</v>
      </c>
      <c r="K668" s="10">
        <f t="shared" si="31"/>
        <v>720</v>
      </c>
      <c r="L668" s="10">
        <f t="shared" si="32"/>
        <v>360</v>
      </c>
      <c r="M668" t="s">
        <v>61</v>
      </c>
      <c r="N668" t="s">
        <v>54</v>
      </c>
      <c r="O668" t="s">
        <v>67</v>
      </c>
      <c r="P668">
        <v>3</v>
      </c>
    </row>
    <row r="669" spans="1:16" x14ac:dyDescent="0.25">
      <c r="A669" t="str">
        <f t="shared" si="30"/>
        <v>ORD0668</v>
      </c>
      <c r="B669" s="3">
        <v>46215</v>
      </c>
      <c r="C669" t="s">
        <v>102</v>
      </c>
      <c r="D669" t="s">
        <v>74</v>
      </c>
      <c r="E669" t="s">
        <v>30</v>
      </c>
      <c r="F669" t="s">
        <v>31</v>
      </c>
      <c r="G669">
        <v>3</v>
      </c>
      <c r="H669" s="10">
        <f>_xlfn.XLOOKUP(E669,Table18[Product],Table18[Unit_Price])</f>
        <v>110</v>
      </c>
      <c r="I669" s="10">
        <f>_xlfn.XLOOKUP(E669,Table18[Product],Table18[Cost_Price])</f>
        <v>55</v>
      </c>
      <c r="J669" s="10">
        <v>23</v>
      </c>
      <c r="K669" s="10">
        <f t="shared" si="31"/>
        <v>307</v>
      </c>
      <c r="L669" s="10">
        <f t="shared" si="32"/>
        <v>142</v>
      </c>
      <c r="M669" t="s">
        <v>61</v>
      </c>
      <c r="N669" t="s">
        <v>54</v>
      </c>
      <c r="O669" t="s">
        <v>71</v>
      </c>
      <c r="P669">
        <v>3</v>
      </c>
    </row>
    <row r="670" spans="1:16" x14ac:dyDescent="0.25">
      <c r="A670" t="str">
        <f t="shared" si="30"/>
        <v>ORD0669</v>
      </c>
      <c r="B670" s="3">
        <v>46114</v>
      </c>
      <c r="C670" t="s">
        <v>91</v>
      </c>
      <c r="D670" t="s">
        <v>72</v>
      </c>
      <c r="E670" t="s">
        <v>16</v>
      </c>
      <c r="F670" t="s">
        <v>17</v>
      </c>
      <c r="G670">
        <v>2</v>
      </c>
      <c r="H670" s="10">
        <f>_xlfn.XLOOKUP(E670,Table18[Product],Table18[Unit_Price])</f>
        <v>120</v>
      </c>
      <c r="I670" s="10">
        <f>_xlfn.XLOOKUP(E670,Table18[Product],Table18[Cost_Price])</f>
        <v>60</v>
      </c>
      <c r="J670" s="10">
        <v>22</v>
      </c>
      <c r="K670" s="10">
        <f t="shared" si="31"/>
        <v>218</v>
      </c>
      <c r="L670" s="10">
        <f t="shared" si="32"/>
        <v>98</v>
      </c>
      <c r="M670" t="s">
        <v>49</v>
      </c>
      <c r="N670" t="s">
        <v>50</v>
      </c>
      <c r="O670" t="s">
        <v>65</v>
      </c>
      <c r="P670">
        <v>4</v>
      </c>
    </row>
    <row r="671" spans="1:16" x14ac:dyDescent="0.25">
      <c r="A671" t="str">
        <f t="shared" si="30"/>
        <v>ORD0670</v>
      </c>
      <c r="B671" s="3">
        <v>46032</v>
      </c>
      <c r="C671" t="s">
        <v>88</v>
      </c>
      <c r="D671" t="s">
        <v>68</v>
      </c>
      <c r="E671" t="s">
        <v>27</v>
      </c>
      <c r="F671" t="s">
        <v>28</v>
      </c>
      <c r="G671">
        <v>2</v>
      </c>
      <c r="H671" s="10">
        <f>_xlfn.XLOOKUP(E671,Table18[Product],Table18[Unit_Price])</f>
        <v>140</v>
      </c>
      <c r="I671" s="10">
        <f>_xlfn.XLOOKUP(E671,Table18[Product],Table18[Cost_Price])</f>
        <v>70</v>
      </c>
      <c r="J671" s="10">
        <v>36</v>
      </c>
      <c r="K671" s="10">
        <f t="shared" si="31"/>
        <v>244</v>
      </c>
      <c r="L671" s="10">
        <f t="shared" si="32"/>
        <v>104</v>
      </c>
      <c r="M671" t="s">
        <v>61</v>
      </c>
      <c r="N671" t="s">
        <v>50</v>
      </c>
      <c r="O671" t="s">
        <v>51</v>
      </c>
      <c r="P671">
        <v>3</v>
      </c>
    </row>
    <row r="672" spans="1:16" x14ac:dyDescent="0.25">
      <c r="A672" t="str">
        <f t="shared" si="30"/>
        <v>ORD0671</v>
      </c>
      <c r="B672" s="3">
        <v>46279</v>
      </c>
      <c r="C672" t="s">
        <v>103</v>
      </c>
      <c r="D672" t="s">
        <v>60</v>
      </c>
      <c r="E672" t="s">
        <v>19</v>
      </c>
      <c r="F672" t="s">
        <v>17</v>
      </c>
      <c r="G672">
        <v>2</v>
      </c>
      <c r="H672" s="10">
        <f>_xlfn.XLOOKUP(E672,Table18[Product],Table18[Unit_Price])</f>
        <v>200</v>
      </c>
      <c r="I672" s="10">
        <f>_xlfn.XLOOKUP(E672,Table18[Product],Table18[Cost_Price])</f>
        <v>100</v>
      </c>
      <c r="J672" s="10">
        <v>22</v>
      </c>
      <c r="K672" s="10">
        <f t="shared" si="31"/>
        <v>378</v>
      </c>
      <c r="L672" s="10">
        <f t="shared" si="32"/>
        <v>178</v>
      </c>
      <c r="M672" t="s">
        <v>57</v>
      </c>
      <c r="N672" t="s">
        <v>58</v>
      </c>
      <c r="O672" t="s">
        <v>71</v>
      </c>
      <c r="P672">
        <v>4</v>
      </c>
    </row>
    <row r="673" spans="1:16" x14ac:dyDescent="0.25">
      <c r="A673" t="str">
        <f t="shared" si="30"/>
        <v>ORD0672</v>
      </c>
      <c r="B673" s="3">
        <v>46208</v>
      </c>
      <c r="C673" t="s">
        <v>91</v>
      </c>
      <c r="D673" t="s">
        <v>66</v>
      </c>
      <c r="E673" t="s">
        <v>19</v>
      </c>
      <c r="F673" t="s">
        <v>17</v>
      </c>
      <c r="G673">
        <v>5</v>
      </c>
      <c r="H673" s="10">
        <f>_xlfn.XLOOKUP(E673,Table18[Product],Table18[Unit_Price])</f>
        <v>200</v>
      </c>
      <c r="I673" s="10">
        <f>_xlfn.XLOOKUP(E673,Table18[Product],Table18[Cost_Price])</f>
        <v>100</v>
      </c>
      <c r="J673" s="10">
        <v>15</v>
      </c>
      <c r="K673" s="10">
        <f t="shared" si="31"/>
        <v>985</v>
      </c>
      <c r="L673" s="10">
        <f t="shared" si="32"/>
        <v>485</v>
      </c>
      <c r="M673" t="s">
        <v>64</v>
      </c>
      <c r="N673" t="s">
        <v>54</v>
      </c>
      <c r="O673" t="s">
        <v>51</v>
      </c>
      <c r="P673">
        <v>4</v>
      </c>
    </row>
    <row r="674" spans="1:16" x14ac:dyDescent="0.25">
      <c r="A674" t="str">
        <f t="shared" si="30"/>
        <v>ORD0673</v>
      </c>
      <c r="B674" s="3">
        <v>46327</v>
      </c>
      <c r="C674" t="s">
        <v>91</v>
      </c>
      <c r="D674" t="s">
        <v>52</v>
      </c>
      <c r="E674" t="s">
        <v>39</v>
      </c>
      <c r="F674" t="s">
        <v>40</v>
      </c>
      <c r="G674">
        <v>1</v>
      </c>
      <c r="H674" s="10">
        <f>_xlfn.XLOOKUP(E674,Table18[Product],Table18[Unit_Price])</f>
        <v>240</v>
      </c>
      <c r="I674" s="10">
        <f>_xlfn.XLOOKUP(E674,Table18[Product],Table18[Cost_Price])</f>
        <v>120</v>
      </c>
      <c r="J674" s="10">
        <v>15</v>
      </c>
      <c r="K674" s="10">
        <f t="shared" si="31"/>
        <v>225</v>
      </c>
      <c r="L674" s="10">
        <f t="shared" si="32"/>
        <v>105</v>
      </c>
      <c r="M674" t="s">
        <v>53</v>
      </c>
      <c r="N674" t="s">
        <v>58</v>
      </c>
      <c r="O674" t="s">
        <v>59</v>
      </c>
      <c r="P674">
        <v>3</v>
      </c>
    </row>
    <row r="675" spans="1:16" x14ac:dyDescent="0.25">
      <c r="A675" t="str">
        <f t="shared" si="30"/>
        <v>ORD0674</v>
      </c>
      <c r="B675" s="3">
        <v>46023</v>
      </c>
      <c r="C675" t="s">
        <v>93</v>
      </c>
      <c r="D675" t="s">
        <v>63</v>
      </c>
      <c r="E675" t="s">
        <v>41</v>
      </c>
      <c r="F675" t="s">
        <v>40</v>
      </c>
      <c r="G675">
        <v>4</v>
      </c>
      <c r="H675" s="10">
        <f>_xlfn.XLOOKUP(E675,Table18[Product],Table18[Unit_Price])</f>
        <v>100</v>
      </c>
      <c r="I675" s="10">
        <f>_xlfn.XLOOKUP(E675,Table18[Product],Table18[Cost_Price])</f>
        <v>50</v>
      </c>
      <c r="J675" s="10">
        <v>13</v>
      </c>
      <c r="K675" s="10">
        <f t="shared" si="31"/>
        <v>387</v>
      </c>
      <c r="L675" s="10">
        <f t="shared" si="32"/>
        <v>187</v>
      </c>
      <c r="M675" t="s">
        <v>53</v>
      </c>
      <c r="N675" t="s">
        <v>54</v>
      </c>
      <c r="O675" t="s">
        <v>65</v>
      </c>
      <c r="P675">
        <v>3</v>
      </c>
    </row>
    <row r="676" spans="1:16" x14ac:dyDescent="0.25">
      <c r="A676" t="str">
        <f t="shared" si="30"/>
        <v>ORD0675</v>
      </c>
      <c r="B676" s="3">
        <v>46176</v>
      </c>
      <c r="C676" t="s">
        <v>79</v>
      </c>
      <c r="D676" t="s">
        <v>48</v>
      </c>
      <c r="E676" t="s">
        <v>20</v>
      </c>
      <c r="F676" t="s">
        <v>17</v>
      </c>
      <c r="G676">
        <v>2</v>
      </c>
      <c r="H676" s="10">
        <f>_xlfn.XLOOKUP(E676,Table18[Product],Table18[Unit_Price])</f>
        <v>150</v>
      </c>
      <c r="I676" s="10">
        <f>_xlfn.XLOOKUP(E676,Table18[Product],Table18[Cost_Price])</f>
        <v>75</v>
      </c>
      <c r="J676" s="10">
        <v>44</v>
      </c>
      <c r="K676" s="10">
        <f t="shared" si="31"/>
        <v>256</v>
      </c>
      <c r="L676" s="10">
        <f t="shared" si="32"/>
        <v>106</v>
      </c>
      <c r="M676" t="s">
        <v>61</v>
      </c>
      <c r="N676" t="s">
        <v>58</v>
      </c>
      <c r="O676" t="s">
        <v>65</v>
      </c>
      <c r="P676">
        <v>4</v>
      </c>
    </row>
    <row r="677" spans="1:16" x14ac:dyDescent="0.25">
      <c r="A677" t="str">
        <f t="shared" si="30"/>
        <v>ORD0676</v>
      </c>
      <c r="B677" s="3">
        <v>46195</v>
      </c>
      <c r="C677" t="s">
        <v>92</v>
      </c>
      <c r="D677" t="s">
        <v>68</v>
      </c>
      <c r="E677" t="s">
        <v>34</v>
      </c>
      <c r="F677" t="s">
        <v>35</v>
      </c>
      <c r="G677">
        <v>3</v>
      </c>
      <c r="H677" s="10">
        <f>_xlfn.XLOOKUP(E677,Table18[Product],Table18[Unit_Price])</f>
        <v>180</v>
      </c>
      <c r="I677" s="10">
        <f>_xlfn.XLOOKUP(E677,Table18[Product],Table18[Cost_Price])</f>
        <v>90</v>
      </c>
      <c r="J677" s="10">
        <v>14</v>
      </c>
      <c r="K677" s="10">
        <f t="shared" si="31"/>
        <v>526</v>
      </c>
      <c r="L677" s="10">
        <f t="shared" si="32"/>
        <v>256</v>
      </c>
      <c r="M677" t="s">
        <v>49</v>
      </c>
      <c r="N677" t="s">
        <v>58</v>
      </c>
      <c r="O677" t="s">
        <v>71</v>
      </c>
      <c r="P677">
        <v>3</v>
      </c>
    </row>
    <row r="678" spans="1:16" x14ac:dyDescent="0.25">
      <c r="A678" t="str">
        <f t="shared" si="30"/>
        <v>ORD0677</v>
      </c>
      <c r="B678" s="3">
        <v>46207</v>
      </c>
      <c r="C678" t="s">
        <v>93</v>
      </c>
      <c r="D678" t="s">
        <v>48</v>
      </c>
      <c r="E678" t="s">
        <v>25</v>
      </c>
      <c r="F678" t="s">
        <v>26</v>
      </c>
      <c r="G678">
        <v>5</v>
      </c>
      <c r="H678" s="10">
        <f>_xlfn.XLOOKUP(E678,Table18[Product],Table18[Unit_Price])</f>
        <v>170</v>
      </c>
      <c r="I678" s="10">
        <f>_xlfn.XLOOKUP(E678,Table18[Product],Table18[Cost_Price])</f>
        <v>85</v>
      </c>
      <c r="J678" s="10">
        <v>43</v>
      </c>
      <c r="K678" s="10">
        <f t="shared" si="31"/>
        <v>807</v>
      </c>
      <c r="L678" s="10">
        <f t="shared" si="32"/>
        <v>382</v>
      </c>
      <c r="M678" t="s">
        <v>53</v>
      </c>
      <c r="N678" t="s">
        <v>50</v>
      </c>
      <c r="O678" t="s">
        <v>73</v>
      </c>
      <c r="P678">
        <v>5</v>
      </c>
    </row>
    <row r="679" spans="1:16" x14ac:dyDescent="0.25">
      <c r="A679" t="str">
        <f t="shared" si="30"/>
        <v>ORD0678</v>
      </c>
      <c r="B679" s="3">
        <v>46359</v>
      </c>
      <c r="C679" t="s">
        <v>93</v>
      </c>
      <c r="D679" t="s">
        <v>68</v>
      </c>
      <c r="E679" t="s">
        <v>33</v>
      </c>
      <c r="F679" t="s">
        <v>31</v>
      </c>
      <c r="G679">
        <v>4</v>
      </c>
      <c r="H679" s="10">
        <f>_xlfn.XLOOKUP(E679,Table18[Product],Table18[Unit_Price])</f>
        <v>150</v>
      </c>
      <c r="I679" s="10">
        <f>_xlfn.XLOOKUP(E679,Table18[Product],Table18[Cost_Price])</f>
        <v>75</v>
      </c>
      <c r="J679" s="10">
        <v>26</v>
      </c>
      <c r="K679" s="10">
        <f t="shared" si="31"/>
        <v>574</v>
      </c>
      <c r="L679" s="10">
        <f t="shared" si="32"/>
        <v>274</v>
      </c>
      <c r="M679" t="s">
        <v>57</v>
      </c>
      <c r="N679" t="s">
        <v>54</v>
      </c>
      <c r="O679" t="s">
        <v>51</v>
      </c>
      <c r="P679">
        <v>4</v>
      </c>
    </row>
    <row r="680" spans="1:16" x14ac:dyDescent="0.25">
      <c r="A680" t="str">
        <f t="shared" si="30"/>
        <v>ORD0679</v>
      </c>
      <c r="B680" s="3">
        <v>46298</v>
      </c>
      <c r="C680" t="s">
        <v>84</v>
      </c>
      <c r="D680" t="s">
        <v>52</v>
      </c>
      <c r="E680" t="s">
        <v>42</v>
      </c>
      <c r="F680" t="s">
        <v>40</v>
      </c>
      <c r="G680">
        <v>5</v>
      </c>
      <c r="H680" s="10">
        <f>_xlfn.XLOOKUP(E680,Table18[Product],Table18[Unit_Price])</f>
        <v>80</v>
      </c>
      <c r="I680" s="10">
        <f>_xlfn.XLOOKUP(E680,Table18[Product],Table18[Cost_Price])</f>
        <v>40</v>
      </c>
      <c r="J680" s="10">
        <v>0</v>
      </c>
      <c r="K680" s="10">
        <f t="shared" si="31"/>
        <v>400</v>
      </c>
      <c r="L680" s="10">
        <f t="shared" si="32"/>
        <v>200</v>
      </c>
      <c r="M680" t="s">
        <v>57</v>
      </c>
      <c r="N680" t="s">
        <v>50</v>
      </c>
      <c r="O680" t="s">
        <v>51</v>
      </c>
      <c r="P680">
        <v>4</v>
      </c>
    </row>
    <row r="681" spans="1:16" x14ac:dyDescent="0.25">
      <c r="A681" t="str">
        <f t="shared" si="30"/>
        <v>ORD0680</v>
      </c>
      <c r="B681" s="3">
        <v>46379</v>
      </c>
      <c r="C681" t="s">
        <v>104</v>
      </c>
      <c r="D681" t="s">
        <v>74</v>
      </c>
      <c r="E681" t="s">
        <v>41</v>
      </c>
      <c r="F681" t="s">
        <v>40</v>
      </c>
      <c r="G681">
        <v>1</v>
      </c>
      <c r="H681" s="10">
        <f>_xlfn.XLOOKUP(E681,Table18[Product],Table18[Unit_Price])</f>
        <v>100</v>
      </c>
      <c r="I681" s="10">
        <f>_xlfn.XLOOKUP(E681,Table18[Product],Table18[Cost_Price])</f>
        <v>50</v>
      </c>
      <c r="J681" s="10">
        <v>7</v>
      </c>
      <c r="K681" s="10">
        <f t="shared" si="31"/>
        <v>93</v>
      </c>
      <c r="L681" s="10">
        <f t="shared" si="32"/>
        <v>43</v>
      </c>
      <c r="M681" t="s">
        <v>64</v>
      </c>
      <c r="N681" t="s">
        <v>50</v>
      </c>
      <c r="O681" t="s">
        <v>75</v>
      </c>
      <c r="P681">
        <v>5</v>
      </c>
    </row>
    <row r="682" spans="1:16" x14ac:dyDescent="0.25">
      <c r="A682" t="str">
        <f t="shared" si="30"/>
        <v>ORD0681</v>
      </c>
      <c r="B682" s="3">
        <v>46246</v>
      </c>
      <c r="C682" t="s">
        <v>92</v>
      </c>
      <c r="D682" t="s">
        <v>60</v>
      </c>
      <c r="E682" t="s">
        <v>32</v>
      </c>
      <c r="F682" t="s">
        <v>31</v>
      </c>
      <c r="G682">
        <v>4</v>
      </c>
      <c r="H682" s="10">
        <f>_xlfn.XLOOKUP(E682,Table18[Product],Table18[Unit_Price])</f>
        <v>130</v>
      </c>
      <c r="I682" s="10">
        <f>_xlfn.XLOOKUP(E682,Table18[Product],Table18[Cost_Price])</f>
        <v>65</v>
      </c>
      <c r="J682" s="10">
        <v>0</v>
      </c>
      <c r="K682" s="10">
        <f t="shared" si="31"/>
        <v>520</v>
      </c>
      <c r="L682" s="10">
        <f t="shared" si="32"/>
        <v>260</v>
      </c>
      <c r="M682" t="s">
        <v>57</v>
      </c>
      <c r="N682" t="s">
        <v>50</v>
      </c>
      <c r="O682" t="s">
        <v>59</v>
      </c>
      <c r="P682">
        <v>5</v>
      </c>
    </row>
    <row r="683" spans="1:16" x14ac:dyDescent="0.25">
      <c r="A683" t="str">
        <f t="shared" si="30"/>
        <v>ORD0682</v>
      </c>
      <c r="B683" s="3">
        <v>46268</v>
      </c>
      <c r="C683" t="s">
        <v>87</v>
      </c>
      <c r="D683" t="s">
        <v>52</v>
      </c>
      <c r="E683" t="s">
        <v>33</v>
      </c>
      <c r="F683" t="s">
        <v>31</v>
      </c>
      <c r="G683">
        <v>2</v>
      </c>
      <c r="H683" s="10">
        <f>_xlfn.XLOOKUP(E683,Table18[Product],Table18[Unit_Price])</f>
        <v>150</v>
      </c>
      <c r="I683" s="10">
        <f>_xlfn.XLOOKUP(E683,Table18[Product],Table18[Cost_Price])</f>
        <v>75</v>
      </c>
      <c r="J683" s="10">
        <v>8</v>
      </c>
      <c r="K683" s="10">
        <f t="shared" si="31"/>
        <v>292</v>
      </c>
      <c r="L683" s="10">
        <f t="shared" si="32"/>
        <v>142</v>
      </c>
      <c r="M683" t="s">
        <v>61</v>
      </c>
      <c r="N683" t="s">
        <v>58</v>
      </c>
      <c r="O683" t="s">
        <v>62</v>
      </c>
      <c r="P683">
        <v>4</v>
      </c>
    </row>
    <row r="684" spans="1:16" x14ac:dyDescent="0.25">
      <c r="A684" t="str">
        <f t="shared" si="30"/>
        <v>ORD0683</v>
      </c>
      <c r="B684" s="3">
        <v>46037</v>
      </c>
      <c r="C684" t="s">
        <v>79</v>
      </c>
      <c r="D684" t="s">
        <v>52</v>
      </c>
      <c r="E684" t="s">
        <v>34</v>
      </c>
      <c r="F684" t="s">
        <v>35</v>
      </c>
      <c r="G684">
        <v>4</v>
      </c>
      <c r="H684" s="10">
        <f>_xlfn.XLOOKUP(E684,Table18[Product],Table18[Unit_Price])</f>
        <v>180</v>
      </c>
      <c r="I684" s="10">
        <f>_xlfn.XLOOKUP(E684,Table18[Product],Table18[Cost_Price])</f>
        <v>90</v>
      </c>
      <c r="J684" s="10">
        <v>17</v>
      </c>
      <c r="K684" s="10">
        <f t="shared" si="31"/>
        <v>703</v>
      </c>
      <c r="L684" s="10">
        <f t="shared" si="32"/>
        <v>343</v>
      </c>
      <c r="M684" t="s">
        <v>61</v>
      </c>
      <c r="N684" t="s">
        <v>54</v>
      </c>
      <c r="O684" t="s">
        <v>62</v>
      </c>
      <c r="P684">
        <v>4</v>
      </c>
    </row>
    <row r="685" spans="1:16" x14ac:dyDescent="0.25">
      <c r="A685" t="str">
        <f t="shared" si="30"/>
        <v>ORD0684</v>
      </c>
      <c r="B685" s="3">
        <v>46197</v>
      </c>
      <c r="C685" t="s">
        <v>93</v>
      </c>
      <c r="D685" t="s">
        <v>56</v>
      </c>
      <c r="E685" t="s">
        <v>38</v>
      </c>
      <c r="F685" t="s">
        <v>35</v>
      </c>
      <c r="G685">
        <v>5</v>
      </c>
      <c r="H685" s="10">
        <f>_xlfn.XLOOKUP(E685,Table18[Product],Table18[Unit_Price])</f>
        <v>170</v>
      </c>
      <c r="I685" s="10">
        <f>_xlfn.XLOOKUP(E685,Table18[Product],Table18[Cost_Price])</f>
        <v>85</v>
      </c>
      <c r="J685" s="10">
        <v>9</v>
      </c>
      <c r="K685" s="10">
        <f t="shared" si="31"/>
        <v>841</v>
      </c>
      <c r="L685" s="10">
        <f t="shared" si="32"/>
        <v>416</v>
      </c>
      <c r="M685" t="s">
        <v>53</v>
      </c>
      <c r="N685" t="s">
        <v>54</v>
      </c>
      <c r="O685" t="s">
        <v>51</v>
      </c>
      <c r="P685">
        <v>4</v>
      </c>
    </row>
    <row r="686" spans="1:16" x14ac:dyDescent="0.25">
      <c r="A686" t="str">
        <f t="shared" si="30"/>
        <v>ORD0685</v>
      </c>
      <c r="B686" s="3">
        <v>46240</v>
      </c>
      <c r="C686" t="s">
        <v>97</v>
      </c>
      <c r="D686" t="s">
        <v>48</v>
      </c>
      <c r="E686" t="s">
        <v>27</v>
      </c>
      <c r="F686" t="s">
        <v>28</v>
      </c>
      <c r="G686">
        <v>4</v>
      </c>
      <c r="H686" s="10">
        <f>_xlfn.XLOOKUP(E686,Table18[Product],Table18[Unit_Price])</f>
        <v>140</v>
      </c>
      <c r="I686" s="10">
        <f>_xlfn.XLOOKUP(E686,Table18[Product],Table18[Cost_Price])</f>
        <v>70</v>
      </c>
      <c r="J686" s="10">
        <v>6</v>
      </c>
      <c r="K686" s="10">
        <f t="shared" si="31"/>
        <v>554</v>
      </c>
      <c r="L686" s="10">
        <f t="shared" si="32"/>
        <v>274</v>
      </c>
      <c r="M686" t="s">
        <v>61</v>
      </c>
      <c r="N686" t="s">
        <v>54</v>
      </c>
      <c r="O686" t="s">
        <v>51</v>
      </c>
      <c r="P686">
        <v>3</v>
      </c>
    </row>
    <row r="687" spans="1:16" x14ac:dyDescent="0.25">
      <c r="A687" t="str">
        <f t="shared" si="30"/>
        <v>ORD0686</v>
      </c>
      <c r="B687" s="3">
        <v>46208</v>
      </c>
      <c r="C687" t="s">
        <v>95</v>
      </c>
      <c r="D687" t="s">
        <v>63</v>
      </c>
      <c r="E687" t="s">
        <v>32</v>
      </c>
      <c r="F687" t="s">
        <v>31</v>
      </c>
      <c r="G687">
        <v>2</v>
      </c>
      <c r="H687" s="10">
        <f>_xlfn.XLOOKUP(E687,Table18[Product],Table18[Unit_Price])</f>
        <v>130</v>
      </c>
      <c r="I687" s="10">
        <f>_xlfn.XLOOKUP(E687,Table18[Product],Table18[Cost_Price])</f>
        <v>65</v>
      </c>
      <c r="J687" s="10">
        <v>16</v>
      </c>
      <c r="K687" s="10">
        <f t="shared" si="31"/>
        <v>244</v>
      </c>
      <c r="L687" s="10">
        <f t="shared" si="32"/>
        <v>114</v>
      </c>
      <c r="M687" t="s">
        <v>57</v>
      </c>
      <c r="N687" t="s">
        <v>54</v>
      </c>
      <c r="O687" t="s">
        <v>71</v>
      </c>
      <c r="P687">
        <v>5</v>
      </c>
    </row>
    <row r="688" spans="1:16" x14ac:dyDescent="0.25">
      <c r="A688" t="str">
        <f t="shared" si="30"/>
        <v>ORD0687</v>
      </c>
      <c r="B688" s="3">
        <v>46033</v>
      </c>
      <c r="C688" t="s">
        <v>101</v>
      </c>
      <c r="D688" t="s">
        <v>63</v>
      </c>
      <c r="E688" t="s">
        <v>41</v>
      </c>
      <c r="F688" t="s">
        <v>40</v>
      </c>
      <c r="G688">
        <v>2</v>
      </c>
      <c r="H688" s="10">
        <f>_xlfn.XLOOKUP(E688,Table18[Product],Table18[Unit_Price])</f>
        <v>100</v>
      </c>
      <c r="I688" s="10">
        <f>_xlfn.XLOOKUP(E688,Table18[Product],Table18[Cost_Price])</f>
        <v>50</v>
      </c>
      <c r="J688" s="10">
        <v>28</v>
      </c>
      <c r="K688" s="10">
        <f t="shared" si="31"/>
        <v>172</v>
      </c>
      <c r="L688" s="10">
        <f t="shared" si="32"/>
        <v>72</v>
      </c>
      <c r="M688" t="s">
        <v>53</v>
      </c>
      <c r="N688" t="s">
        <v>50</v>
      </c>
      <c r="O688" t="s">
        <v>65</v>
      </c>
      <c r="P688">
        <v>5</v>
      </c>
    </row>
    <row r="689" spans="1:16" x14ac:dyDescent="0.25">
      <c r="A689" t="str">
        <f t="shared" si="30"/>
        <v>ORD0688</v>
      </c>
      <c r="B689" s="3">
        <v>46320</v>
      </c>
      <c r="C689" t="s">
        <v>96</v>
      </c>
      <c r="D689" t="s">
        <v>72</v>
      </c>
      <c r="E689" t="s">
        <v>29</v>
      </c>
      <c r="F689" t="s">
        <v>28</v>
      </c>
      <c r="G689">
        <v>4</v>
      </c>
      <c r="H689" s="10">
        <f>_xlfn.XLOOKUP(E689,Table18[Product],Table18[Unit_Price])</f>
        <v>120</v>
      </c>
      <c r="I689" s="10">
        <f>_xlfn.XLOOKUP(E689,Table18[Product],Table18[Cost_Price])</f>
        <v>60</v>
      </c>
      <c r="J689" s="10">
        <v>3</v>
      </c>
      <c r="K689" s="10">
        <f t="shared" si="31"/>
        <v>477</v>
      </c>
      <c r="L689" s="10">
        <f t="shared" si="32"/>
        <v>237</v>
      </c>
      <c r="M689" t="s">
        <v>64</v>
      </c>
      <c r="N689" t="s">
        <v>58</v>
      </c>
      <c r="O689" t="s">
        <v>69</v>
      </c>
      <c r="P689">
        <v>5</v>
      </c>
    </row>
    <row r="690" spans="1:16" x14ac:dyDescent="0.25">
      <c r="A690" t="str">
        <f t="shared" si="30"/>
        <v>ORD0689</v>
      </c>
      <c r="B690" s="3">
        <v>46114</v>
      </c>
      <c r="C690" t="s">
        <v>76</v>
      </c>
      <c r="D690" t="s">
        <v>52</v>
      </c>
      <c r="E690" t="s">
        <v>25</v>
      </c>
      <c r="F690" t="s">
        <v>26</v>
      </c>
      <c r="G690">
        <v>4</v>
      </c>
      <c r="H690" s="10">
        <f>_xlfn.XLOOKUP(E690,Table18[Product],Table18[Unit_Price])</f>
        <v>170</v>
      </c>
      <c r="I690" s="10">
        <f>_xlfn.XLOOKUP(E690,Table18[Product],Table18[Cost_Price])</f>
        <v>85</v>
      </c>
      <c r="J690" s="10">
        <v>17</v>
      </c>
      <c r="K690" s="10">
        <f t="shared" si="31"/>
        <v>663</v>
      </c>
      <c r="L690" s="10">
        <f t="shared" si="32"/>
        <v>323</v>
      </c>
      <c r="M690" t="s">
        <v>49</v>
      </c>
      <c r="N690" t="s">
        <v>54</v>
      </c>
      <c r="O690" t="s">
        <v>69</v>
      </c>
      <c r="P690">
        <v>3</v>
      </c>
    </row>
    <row r="691" spans="1:16" x14ac:dyDescent="0.25">
      <c r="A691" t="str">
        <f t="shared" si="30"/>
        <v>ORD0690</v>
      </c>
      <c r="B691" s="3">
        <v>46080</v>
      </c>
      <c r="C691" t="s">
        <v>79</v>
      </c>
      <c r="D691" t="s">
        <v>72</v>
      </c>
      <c r="E691" t="s">
        <v>27</v>
      </c>
      <c r="F691" t="s">
        <v>28</v>
      </c>
      <c r="G691">
        <v>4</v>
      </c>
      <c r="H691" s="10">
        <f>_xlfn.XLOOKUP(E691,Table18[Product],Table18[Unit_Price])</f>
        <v>140</v>
      </c>
      <c r="I691" s="10">
        <f>_xlfn.XLOOKUP(E691,Table18[Product],Table18[Cost_Price])</f>
        <v>70</v>
      </c>
      <c r="J691" s="10">
        <v>21</v>
      </c>
      <c r="K691" s="10">
        <f t="shared" si="31"/>
        <v>539</v>
      </c>
      <c r="L691" s="10">
        <f t="shared" si="32"/>
        <v>259</v>
      </c>
      <c r="M691" t="s">
        <v>57</v>
      </c>
      <c r="N691" t="s">
        <v>58</v>
      </c>
      <c r="O691" t="s">
        <v>62</v>
      </c>
      <c r="P691">
        <v>5</v>
      </c>
    </row>
    <row r="692" spans="1:16" x14ac:dyDescent="0.25">
      <c r="A692" t="str">
        <f t="shared" si="30"/>
        <v>ORD0691</v>
      </c>
      <c r="B692" s="3">
        <v>46273</v>
      </c>
      <c r="C692" t="s">
        <v>87</v>
      </c>
      <c r="D692" t="s">
        <v>56</v>
      </c>
      <c r="E692" t="s">
        <v>33</v>
      </c>
      <c r="F692" t="s">
        <v>31</v>
      </c>
      <c r="G692">
        <v>5</v>
      </c>
      <c r="H692" s="10">
        <f>_xlfn.XLOOKUP(E692,Table18[Product],Table18[Unit_Price])</f>
        <v>150</v>
      </c>
      <c r="I692" s="10">
        <f>_xlfn.XLOOKUP(E692,Table18[Product],Table18[Cost_Price])</f>
        <v>75</v>
      </c>
      <c r="J692" s="10">
        <v>5</v>
      </c>
      <c r="K692" s="10">
        <f t="shared" si="31"/>
        <v>745</v>
      </c>
      <c r="L692" s="10">
        <f t="shared" si="32"/>
        <v>370</v>
      </c>
      <c r="M692" t="s">
        <v>49</v>
      </c>
      <c r="N692" t="s">
        <v>58</v>
      </c>
      <c r="O692" t="s">
        <v>51</v>
      </c>
      <c r="P692">
        <v>4</v>
      </c>
    </row>
    <row r="693" spans="1:16" x14ac:dyDescent="0.25">
      <c r="A693" t="str">
        <f t="shared" si="30"/>
        <v>ORD0692</v>
      </c>
      <c r="B693" s="3">
        <v>46026</v>
      </c>
      <c r="C693" t="s">
        <v>82</v>
      </c>
      <c r="D693" t="s">
        <v>56</v>
      </c>
      <c r="E693" t="s">
        <v>29</v>
      </c>
      <c r="F693" t="s">
        <v>28</v>
      </c>
      <c r="G693">
        <v>2</v>
      </c>
      <c r="H693" s="10">
        <f>_xlfn.XLOOKUP(E693,Table18[Product],Table18[Unit_Price])</f>
        <v>120</v>
      </c>
      <c r="I693" s="10">
        <f>_xlfn.XLOOKUP(E693,Table18[Product],Table18[Cost_Price])</f>
        <v>60</v>
      </c>
      <c r="J693" s="10">
        <v>28</v>
      </c>
      <c r="K693" s="10">
        <f t="shared" si="31"/>
        <v>212</v>
      </c>
      <c r="L693" s="10">
        <f t="shared" si="32"/>
        <v>92</v>
      </c>
      <c r="M693" t="s">
        <v>53</v>
      </c>
      <c r="N693" t="s">
        <v>58</v>
      </c>
      <c r="O693" t="s">
        <v>75</v>
      </c>
      <c r="P693">
        <v>3</v>
      </c>
    </row>
    <row r="694" spans="1:16" x14ac:dyDescent="0.25">
      <c r="A694" t="str">
        <f t="shared" si="30"/>
        <v>ORD0693</v>
      </c>
      <c r="B694" s="3">
        <v>46104</v>
      </c>
      <c r="C694" t="s">
        <v>89</v>
      </c>
      <c r="D694" t="s">
        <v>63</v>
      </c>
      <c r="E694" t="s">
        <v>20</v>
      </c>
      <c r="F694" t="s">
        <v>17</v>
      </c>
      <c r="G694">
        <v>2</v>
      </c>
      <c r="H694" s="10">
        <f>_xlfn.XLOOKUP(E694,Table18[Product],Table18[Unit_Price])</f>
        <v>150</v>
      </c>
      <c r="I694" s="10">
        <f>_xlfn.XLOOKUP(E694,Table18[Product],Table18[Cost_Price])</f>
        <v>75</v>
      </c>
      <c r="J694" s="10">
        <v>4</v>
      </c>
      <c r="K694" s="10">
        <f t="shared" si="31"/>
        <v>296</v>
      </c>
      <c r="L694" s="10">
        <f t="shared" si="32"/>
        <v>146</v>
      </c>
      <c r="M694" t="s">
        <v>53</v>
      </c>
      <c r="N694" t="s">
        <v>50</v>
      </c>
      <c r="O694" t="s">
        <v>59</v>
      </c>
      <c r="P694">
        <v>3</v>
      </c>
    </row>
    <row r="695" spans="1:16" x14ac:dyDescent="0.25">
      <c r="A695" t="str">
        <f t="shared" si="30"/>
        <v>ORD0694</v>
      </c>
      <c r="B695" s="3">
        <v>46038</v>
      </c>
      <c r="C695" t="s">
        <v>76</v>
      </c>
      <c r="D695" t="s">
        <v>63</v>
      </c>
      <c r="E695" t="s">
        <v>20</v>
      </c>
      <c r="F695" t="s">
        <v>17</v>
      </c>
      <c r="G695">
        <v>3</v>
      </c>
      <c r="H695" s="10">
        <f>_xlfn.XLOOKUP(E695,Table18[Product],Table18[Unit_Price])</f>
        <v>150</v>
      </c>
      <c r="I695" s="10">
        <f>_xlfn.XLOOKUP(E695,Table18[Product],Table18[Cost_Price])</f>
        <v>75</v>
      </c>
      <c r="J695" s="10">
        <v>7</v>
      </c>
      <c r="K695" s="10">
        <f t="shared" si="31"/>
        <v>443</v>
      </c>
      <c r="L695" s="10">
        <f t="shared" si="32"/>
        <v>218</v>
      </c>
      <c r="M695" t="s">
        <v>61</v>
      </c>
      <c r="N695" t="s">
        <v>58</v>
      </c>
      <c r="O695" t="s">
        <v>69</v>
      </c>
      <c r="P695">
        <v>4</v>
      </c>
    </row>
    <row r="696" spans="1:16" x14ac:dyDescent="0.25">
      <c r="A696" t="str">
        <f t="shared" si="30"/>
        <v>ORD0695</v>
      </c>
      <c r="B696" s="3">
        <v>46217</v>
      </c>
      <c r="C696" t="s">
        <v>82</v>
      </c>
      <c r="D696" t="s">
        <v>68</v>
      </c>
      <c r="E696" t="s">
        <v>42</v>
      </c>
      <c r="F696" t="s">
        <v>40</v>
      </c>
      <c r="G696">
        <v>2</v>
      </c>
      <c r="H696" s="10">
        <f>_xlfn.XLOOKUP(E696,Table18[Product],Table18[Unit_Price])</f>
        <v>80</v>
      </c>
      <c r="I696" s="10">
        <f>_xlfn.XLOOKUP(E696,Table18[Product],Table18[Cost_Price])</f>
        <v>40</v>
      </c>
      <c r="J696" s="10">
        <v>44</v>
      </c>
      <c r="K696" s="10">
        <f t="shared" si="31"/>
        <v>116</v>
      </c>
      <c r="L696" s="10">
        <f t="shared" si="32"/>
        <v>36</v>
      </c>
      <c r="M696" t="s">
        <v>49</v>
      </c>
      <c r="N696" t="s">
        <v>58</v>
      </c>
      <c r="O696" t="s">
        <v>55</v>
      </c>
      <c r="P696">
        <v>4</v>
      </c>
    </row>
    <row r="697" spans="1:16" x14ac:dyDescent="0.25">
      <c r="A697" t="str">
        <f t="shared" si="30"/>
        <v>ORD0696</v>
      </c>
      <c r="B697" s="3">
        <v>46024</v>
      </c>
      <c r="C697" t="s">
        <v>93</v>
      </c>
      <c r="D697" t="s">
        <v>63</v>
      </c>
      <c r="E697" t="s">
        <v>39</v>
      </c>
      <c r="F697" t="s">
        <v>40</v>
      </c>
      <c r="G697">
        <v>4</v>
      </c>
      <c r="H697" s="10">
        <f>_xlfn.XLOOKUP(E697,Table18[Product],Table18[Unit_Price])</f>
        <v>240</v>
      </c>
      <c r="I697" s="10">
        <f>_xlfn.XLOOKUP(E697,Table18[Product],Table18[Cost_Price])</f>
        <v>120</v>
      </c>
      <c r="J697" s="10">
        <v>10</v>
      </c>
      <c r="K697" s="10">
        <f t="shared" si="31"/>
        <v>950</v>
      </c>
      <c r="L697" s="10">
        <f t="shared" si="32"/>
        <v>470</v>
      </c>
      <c r="M697" t="s">
        <v>61</v>
      </c>
      <c r="N697" t="s">
        <v>54</v>
      </c>
      <c r="O697" t="s">
        <v>71</v>
      </c>
      <c r="P697">
        <v>5</v>
      </c>
    </row>
    <row r="698" spans="1:16" x14ac:dyDescent="0.25">
      <c r="A698" t="str">
        <f t="shared" si="30"/>
        <v>ORD0697</v>
      </c>
      <c r="B698" s="3">
        <v>46327</v>
      </c>
      <c r="C698" t="s">
        <v>92</v>
      </c>
      <c r="D698" t="s">
        <v>68</v>
      </c>
      <c r="E698" t="s">
        <v>29</v>
      </c>
      <c r="F698" t="s">
        <v>28</v>
      </c>
      <c r="G698">
        <v>5</v>
      </c>
      <c r="H698" s="10">
        <f>_xlfn.XLOOKUP(E698,Table18[Product],Table18[Unit_Price])</f>
        <v>120</v>
      </c>
      <c r="I698" s="10">
        <f>_xlfn.XLOOKUP(E698,Table18[Product],Table18[Cost_Price])</f>
        <v>60</v>
      </c>
      <c r="J698" s="10">
        <v>16</v>
      </c>
      <c r="K698" s="10">
        <f t="shared" si="31"/>
        <v>584</v>
      </c>
      <c r="L698" s="10">
        <f t="shared" si="32"/>
        <v>284</v>
      </c>
      <c r="M698" t="s">
        <v>61</v>
      </c>
      <c r="N698" t="s">
        <v>50</v>
      </c>
      <c r="O698" t="s">
        <v>51</v>
      </c>
      <c r="P698">
        <v>4</v>
      </c>
    </row>
    <row r="699" spans="1:16" x14ac:dyDescent="0.25">
      <c r="A699" t="str">
        <f t="shared" si="30"/>
        <v>ORD0698</v>
      </c>
      <c r="B699" s="3">
        <v>46369</v>
      </c>
      <c r="C699" t="s">
        <v>93</v>
      </c>
      <c r="D699" t="s">
        <v>72</v>
      </c>
      <c r="E699" t="s">
        <v>39</v>
      </c>
      <c r="F699" t="s">
        <v>40</v>
      </c>
      <c r="G699">
        <v>4</v>
      </c>
      <c r="H699" s="10">
        <f>_xlfn.XLOOKUP(E699,Table18[Product],Table18[Unit_Price])</f>
        <v>240</v>
      </c>
      <c r="I699" s="10">
        <f>_xlfn.XLOOKUP(E699,Table18[Product],Table18[Cost_Price])</f>
        <v>120</v>
      </c>
      <c r="J699" s="10">
        <v>15</v>
      </c>
      <c r="K699" s="10">
        <f t="shared" si="31"/>
        <v>945</v>
      </c>
      <c r="L699" s="10">
        <f t="shared" si="32"/>
        <v>465</v>
      </c>
      <c r="M699" t="s">
        <v>64</v>
      </c>
      <c r="N699" t="s">
        <v>50</v>
      </c>
      <c r="O699" t="s">
        <v>55</v>
      </c>
      <c r="P699">
        <v>3</v>
      </c>
    </row>
    <row r="700" spans="1:16" x14ac:dyDescent="0.25">
      <c r="A700" t="str">
        <f t="shared" si="30"/>
        <v>ORD0699</v>
      </c>
      <c r="B700" s="3">
        <v>46201</v>
      </c>
      <c r="C700" t="s">
        <v>84</v>
      </c>
      <c r="D700" t="s">
        <v>74</v>
      </c>
      <c r="E700" t="s">
        <v>37</v>
      </c>
      <c r="F700" t="s">
        <v>35</v>
      </c>
      <c r="G700">
        <v>1</v>
      </c>
      <c r="H700" s="10">
        <f>_xlfn.XLOOKUP(E700,Table18[Product],Table18[Unit_Price])</f>
        <v>160</v>
      </c>
      <c r="I700" s="10">
        <f>_xlfn.XLOOKUP(E700,Table18[Product],Table18[Cost_Price])</f>
        <v>80</v>
      </c>
      <c r="J700" s="10">
        <v>37</v>
      </c>
      <c r="K700" s="10">
        <f t="shared" si="31"/>
        <v>123</v>
      </c>
      <c r="L700" s="10">
        <f t="shared" si="32"/>
        <v>43</v>
      </c>
      <c r="M700" t="s">
        <v>49</v>
      </c>
      <c r="N700" t="s">
        <v>54</v>
      </c>
      <c r="O700" t="s">
        <v>75</v>
      </c>
      <c r="P700">
        <v>5</v>
      </c>
    </row>
    <row r="701" spans="1:16" x14ac:dyDescent="0.25">
      <c r="A701" t="str">
        <f t="shared" si="30"/>
        <v>ORD0700</v>
      </c>
      <c r="B701" s="3">
        <v>46307</v>
      </c>
      <c r="C701" t="s">
        <v>81</v>
      </c>
      <c r="D701" t="s">
        <v>70</v>
      </c>
      <c r="E701" t="s">
        <v>38</v>
      </c>
      <c r="F701" t="s">
        <v>35</v>
      </c>
      <c r="G701">
        <v>3</v>
      </c>
      <c r="H701" s="10">
        <f>_xlfn.XLOOKUP(E701,Table18[Product],Table18[Unit_Price])</f>
        <v>170</v>
      </c>
      <c r="I701" s="10">
        <f>_xlfn.XLOOKUP(E701,Table18[Product],Table18[Cost_Price])</f>
        <v>85</v>
      </c>
      <c r="J701" s="10">
        <v>35</v>
      </c>
      <c r="K701" s="10">
        <f t="shared" si="31"/>
        <v>475</v>
      </c>
      <c r="L701" s="10">
        <f t="shared" si="32"/>
        <v>220</v>
      </c>
      <c r="M701" t="s">
        <v>49</v>
      </c>
      <c r="N701" t="s">
        <v>58</v>
      </c>
      <c r="O701" t="s">
        <v>67</v>
      </c>
      <c r="P701">
        <v>5</v>
      </c>
    </row>
    <row r="702" spans="1:16" x14ac:dyDescent="0.25">
      <c r="A702" t="str">
        <f t="shared" si="30"/>
        <v>ORD0701</v>
      </c>
      <c r="B702" s="3">
        <v>46219</v>
      </c>
      <c r="C702" t="s">
        <v>87</v>
      </c>
      <c r="D702" t="s">
        <v>48</v>
      </c>
      <c r="E702" t="s">
        <v>18</v>
      </c>
      <c r="F702" t="s">
        <v>17</v>
      </c>
      <c r="G702">
        <v>2</v>
      </c>
      <c r="H702" s="10">
        <f>_xlfn.XLOOKUP(E702,Table18[Product],Table18[Unit_Price])</f>
        <v>180</v>
      </c>
      <c r="I702" s="10">
        <f>_xlfn.XLOOKUP(E702,Table18[Product],Table18[Cost_Price])</f>
        <v>90</v>
      </c>
      <c r="J702" s="10">
        <v>7</v>
      </c>
      <c r="K702" s="10">
        <f t="shared" si="31"/>
        <v>353</v>
      </c>
      <c r="L702" s="10">
        <f t="shared" si="32"/>
        <v>173</v>
      </c>
      <c r="M702" t="s">
        <v>57</v>
      </c>
      <c r="N702" t="s">
        <v>50</v>
      </c>
      <c r="O702" t="s">
        <v>71</v>
      </c>
      <c r="P702">
        <v>3</v>
      </c>
    </row>
    <row r="703" spans="1:16" x14ac:dyDescent="0.25">
      <c r="A703" t="str">
        <f t="shared" si="30"/>
        <v>ORD0702</v>
      </c>
      <c r="B703" s="3">
        <v>46241</v>
      </c>
      <c r="C703" t="s">
        <v>102</v>
      </c>
      <c r="D703" t="s">
        <v>63</v>
      </c>
      <c r="E703" t="s">
        <v>22</v>
      </c>
      <c r="F703" t="s">
        <v>23</v>
      </c>
      <c r="G703">
        <v>2</v>
      </c>
      <c r="H703" s="10">
        <f>_xlfn.XLOOKUP(E703,Table18[Product],Table18[Unit_Price])</f>
        <v>190</v>
      </c>
      <c r="I703" s="10">
        <f>_xlfn.XLOOKUP(E703,Table18[Product],Table18[Cost_Price])</f>
        <v>95</v>
      </c>
      <c r="J703" s="10">
        <v>47</v>
      </c>
      <c r="K703" s="10">
        <f t="shared" si="31"/>
        <v>333</v>
      </c>
      <c r="L703" s="10">
        <f t="shared" si="32"/>
        <v>143</v>
      </c>
      <c r="M703" t="s">
        <v>57</v>
      </c>
      <c r="N703" t="s">
        <v>58</v>
      </c>
      <c r="O703" t="s">
        <v>75</v>
      </c>
      <c r="P703">
        <v>4</v>
      </c>
    </row>
    <row r="704" spans="1:16" x14ac:dyDescent="0.25">
      <c r="A704" t="str">
        <f t="shared" si="30"/>
        <v>ORD0703</v>
      </c>
      <c r="B704" s="3">
        <v>46266</v>
      </c>
      <c r="C704" t="s">
        <v>78</v>
      </c>
      <c r="D704" t="s">
        <v>56</v>
      </c>
      <c r="E704" t="s">
        <v>21</v>
      </c>
      <c r="F704" t="s">
        <v>17</v>
      </c>
      <c r="G704">
        <v>1</v>
      </c>
      <c r="H704" s="10">
        <f>_xlfn.XLOOKUP(E704,Table18[Product],Table18[Unit_Price])</f>
        <v>220</v>
      </c>
      <c r="I704" s="10">
        <f>_xlfn.XLOOKUP(E704,Table18[Product],Table18[Cost_Price])</f>
        <v>110</v>
      </c>
      <c r="J704" s="10">
        <v>2</v>
      </c>
      <c r="K704" s="10">
        <f t="shared" si="31"/>
        <v>218</v>
      </c>
      <c r="L704" s="10">
        <f t="shared" si="32"/>
        <v>108</v>
      </c>
      <c r="M704" t="s">
        <v>64</v>
      </c>
      <c r="N704" t="s">
        <v>54</v>
      </c>
      <c r="O704" t="s">
        <v>65</v>
      </c>
      <c r="P704">
        <v>3</v>
      </c>
    </row>
    <row r="705" spans="1:16" x14ac:dyDescent="0.25">
      <c r="A705" t="str">
        <f t="shared" si="30"/>
        <v>ORD0704</v>
      </c>
      <c r="B705" s="3">
        <v>46123</v>
      </c>
      <c r="C705" t="s">
        <v>85</v>
      </c>
      <c r="D705" t="s">
        <v>48</v>
      </c>
      <c r="E705" t="s">
        <v>37</v>
      </c>
      <c r="F705" t="s">
        <v>35</v>
      </c>
      <c r="G705">
        <v>2</v>
      </c>
      <c r="H705" s="10">
        <f>_xlfn.XLOOKUP(E705,Table18[Product],Table18[Unit_Price])</f>
        <v>160</v>
      </c>
      <c r="I705" s="10">
        <f>_xlfn.XLOOKUP(E705,Table18[Product],Table18[Cost_Price])</f>
        <v>80</v>
      </c>
      <c r="J705" s="10">
        <v>39</v>
      </c>
      <c r="K705" s="10">
        <f t="shared" si="31"/>
        <v>281</v>
      </c>
      <c r="L705" s="10">
        <f t="shared" si="32"/>
        <v>121</v>
      </c>
      <c r="M705" t="s">
        <v>61</v>
      </c>
      <c r="N705" t="s">
        <v>50</v>
      </c>
      <c r="O705" t="s">
        <v>67</v>
      </c>
      <c r="P705">
        <v>3</v>
      </c>
    </row>
    <row r="706" spans="1:16" x14ac:dyDescent="0.25">
      <c r="A706" t="str">
        <f t="shared" si="30"/>
        <v>ORD0705</v>
      </c>
      <c r="B706" s="3">
        <v>46279</v>
      </c>
      <c r="C706" t="s">
        <v>105</v>
      </c>
      <c r="D706" t="s">
        <v>48</v>
      </c>
      <c r="E706" t="s">
        <v>30</v>
      </c>
      <c r="F706" t="s">
        <v>31</v>
      </c>
      <c r="G706">
        <v>1</v>
      </c>
      <c r="H706" s="10">
        <f>_xlfn.XLOOKUP(E706,Table18[Product],Table18[Unit_Price])</f>
        <v>110</v>
      </c>
      <c r="I706" s="10">
        <f>_xlfn.XLOOKUP(E706,Table18[Product],Table18[Cost_Price])</f>
        <v>55</v>
      </c>
      <c r="J706" s="10">
        <v>20</v>
      </c>
      <c r="K706" s="10">
        <f t="shared" si="31"/>
        <v>90</v>
      </c>
      <c r="L706" s="10">
        <f t="shared" si="32"/>
        <v>35</v>
      </c>
      <c r="M706" t="s">
        <v>53</v>
      </c>
      <c r="N706" t="s">
        <v>50</v>
      </c>
      <c r="O706" t="s">
        <v>51</v>
      </c>
      <c r="P706">
        <v>3</v>
      </c>
    </row>
    <row r="707" spans="1:16" x14ac:dyDescent="0.25">
      <c r="A707" t="str">
        <f t="shared" ref="A707:A770" si="33">"ORD"&amp;TEXT(ROW()-1,"0000")</f>
        <v>ORD0706</v>
      </c>
      <c r="B707" s="3">
        <v>46045</v>
      </c>
      <c r="C707" t="s">
        <v>103</v>
      </c>
      <c r="D707" t="s">
        <v>68</v>
      </c>
      <c r="E707" t="s">
        <v>32</v>
      </c>
      <c r="F707" t="s">
        <v>31</v>
      </c>
      <c r="G707">
        <v>3</v>
      </c>
      <c r="H707" s="10">
        <f>_xlfn.XLOOKUP(E707,Table18[Product],Table18[Unit_Price])</f>
        <v>130</v>
      </c>
      <c r="I707" s="10">
        <f>_xlfn.XLOOKUP(E707,Table18[Product],Table18[Cost_Price])</f>
        <v>65</v>
      </c>
      <c r="J707" s="10">
        <v>33</v>
      </c>
      <c r="K707" s="10">
        <f t="shared" ref="K707:K770" si="34">(G707*H707)-J707</f>
        <v>357</v>
      </c>
      <c r="L707" s="10">
        <f t="shared" ref="L707:L770" si="35">K707-(G707*I707)</f>
        <v>162</v>
      </c>
      <c r="M707" t="s">
        <v>61</v>
      </c>
      <c r="N707" t="s">
        <v>58</v>
      </c>
      <c r="O707" t="s">
        <v>55</v>
      </c>
      <c r="P707">
        <v>4</v>
      </c>
    </row>
    <row r="708" spans="1:16" x14ac:dyDescent="0.25">
      <c r="A708" t="str">
        <f t="shared" si="33"/>
        <v>ORD0707</v>
      </c>
      <c r="B708" s="3">
        <v>46095</v>
      </c>
      <c r="C708" t="s">
        <v>80</v>
      </c>
      <c r="D708" t="s">
        <v>66</v>
      </c>
      <c r="E708" t="s">
        <v>39</v>
      </c>
      <c r="F708" t="s">
        <v>40</v>
      </c>
      <c r="G708">
        <v>5</v>
      </c>
      <c r="H708" s="10">
        <f>_xlfn.XLOOKUP(E708,Table18[Product],Table18[Unit_Price])</f>
        <v>240</v>
      </c>
      <c r="I708" s="10">
        <f>_xlfn.XLOOKUP(E708,Table18[Product],Table18[Cost_Price])</f>
        <v>120</v>
      </c>
      <c r="J708" s="10">
        <v>42</v>
      </c>
      <c r="K708" s="10">
        <f t="shared" si="34"/>
        <v>1158</v>
      </c>
      <c r="L708" s="10">
        <f t="shared" si="35"/>
        <v>558</v>
      </c>
      <c r="M708" t="s">
        <v>57</v>
      </c>
      <c r="N708" t="s">
        <v>58</v>
      </c>
      <c r="O708" t="s">
        <v>73</v>
      </c>
      <c r="P708">
        <v>5</v>
      </c>
    </row>
    <row r="709" spans="1:16" x14ac:dyDescent="0.25">
      <c r="A709" t="str">
        <f t="shared" si="33"/>
        <v>ORD0708</v>
      </c>
      <c r="B709" s="3">
        <v>46351</v>
      </c>
      <c r="C709" t="s">
        <v>92</v>
      </c>
      <c r="D709" t="s">
        <v>60</v>
      </c>
      <c r="E709" t="s">
        <v>20</v>
      </c>
      <c r="F709" t="s">
        <v>17</v>
      </c>
      <c r="G709">
        <v>2</v>
      </c>
      <c r="H709" s="10">
        <f>_xlfn.XLOOKUP(E709,Table18[Product],Table18[Unit_Price])</f>
        <v>150</v>
      </c>
      <c r="I709" s="10">
        <f>_xlfn.XLOOKUP(E709,Table18[Product],Table18[Cost_Price])</f>
        <v>75</v>
      </c>
      <c r="J709" s="10">
        <v>49</v>
      </c>
      <c r="K709" s="10">
        <f t="shared" si="34"/>
        <v>251</v>
      </c>
      <c r="L709" s="10">
        <f t="shared" si="35"/>
        <v>101</v>
      </c>
      <c r="M709" t="s">
        <v>49</v>
      </c>
      <c r="N709" t="s">
        <v>58</v>
      </c>
      <c r="O709" t="s">
        <v>51</v>
      </c>
      <c r="P709">
        <v>3</v>
      </c>
    </row>
    <row r="710" spans="1:16" x14ac:dyDescent="0.25">
      <c r="A710" t="str">
        <f t="shared" si="33"/>
        <v>ORD0709</v>
      </c>
      <c r="B710" s="3">
        <v>46149</v>
      </c>
      <c r="C710" t="s">
        <v>92</v>
      </c>
      <c r="D710" t="s">
        <v>52</v>
      </c>
      <c r="E710" t="s">
        <v>24</v>
      </c>
      <c r="F710" t="s">
        <v>23</v>
      </c>
      <c r="G710">
        <v>2</v>
      </c>
      <c r="H710" s="10">
        <f>_xlfn.XLOOKUP(E710,Table18[Product],Table18[Unit_Price])</f>
        <v>210</v>
      </c>
      <c r="I710" s="10">
        <f>_xlfn.XLOOKUP(E710,Table18[Product],Table18[Cost_Price])</f>
        <v>105</v>
      </c>
      <c r="J710" s="10">
        <v>50</v>
      </c>
      <c r="K710" s="10">
        <f t="shared" si="34"/>
        <v>370</v>
      </c>
      <c r="L710" s="10">
        <f t="shared" si="35"/>
        <v>160</v>
      </c>
      <c r="M710" t="s">
        <v>57</v>
      </c>
      <c r="N710" t="s">
        <v>58</v>
      </c>
      <c r="O710" t="s">
        <v>65</v>
      </c>
      <c r="P710">
        <v>5</v>
      </c>
    </row>
    <row r="711" spans="1:16" x14ac:dyDescent="0.25">
      <c r="A711" t="str">
        <f t="shared" si="33"/>
        <v>ORD0710</v>
      </c>
      <c r="B711" s="3">
        <v>46179</v>
      </c>
      <c r="C711" t="s">
        <v>90</v>
      </c>
      <c r="D711" t="s">
        <v>56</v>
      </c>
      <c r="E711" t="s">
        <v>34</v>
      </c>
      <c r="F711" t="s">
        <v>35</v>
      </c>
      <c r="G711">
        <v>2</v>
      </c>
      <c r="H711" s="10">
        <f>_xlfn.XLOOKUP(E711,Table18[Product],Table18[Unit_Price])</f>
        <v>180</v>
      </c>
      <c r="I711" s="10">
        <f>_xlfn.XLOOKUP(E711,Table18[Product],Table18[Cost_Price])</f>
        <v>90</v>
      </c>
      <c r="J711" s="10">
        <v>9</v>
      </c>
      <c r="K711" s="10">
        <f t="shared" si="34"/>
        <v>351</v>
      </c>
      <c r="L711" s="10">
        <f t="shared" si="35"/>
        <v>171</v>
      </c>
      <c r="M711" t="s">
        <v>53</v>
      </c>
      <c r="N711" t="s">
        <v>50</v>
      </c>
      <c r="O711" t="s">
        <v>55</v>
      </c>
      <c r="P711">
        <v>3</v>
      </c>
    </row>
    <row r="712" spans="1:16" x14ac:dyDescent="0.25">
      <c r="A712" t="str">
        <f t="shared" si="33"/>
        <v>ORD0711</v>
      </c>
      <c r="B712" s="3">
        <v>46024</v>
      </c>
      <c r="C712" t="s">
        <v>97</v>
      </c>
      <c r="D712" t="s">
        <v>60</v>
      </c>
      <c r="E712" t="s">
        <v>42</v>
      </c>
      <c r="F712" t="s">
        <v>40</v>
      </c>
      <c r="G712">
        <v>4</v>
      </c>
      <c r="H712" s="10">
        <f>_xlfn.XLOOKUP(E712,Table18[Product],Table18[Unit_Price])</f>
        <v>80</v>
      </c>
      <c r="I712" s="10">
        <f>_xlfn.XLOOKUP(E712,Table18[Product],Table18[Cost_Price])</f>
        <v>40</v>
      </c>
      <c r="J712" s="10">
        <v>37</v>
      </c>
      <c r="K712" s="10">
        <f t="shared" si="34"/>
        <v>283</v>
      </c>
      <c r="L712" s="10">
        <f t="shared" si="35"/>
        <v>123</v>
      </c>
      <c r="M712" t="s">
        <v>49</v>
      </c>
      <c r="N712" t="s">
        <v>50</v>
      </c>
      <c r="O712" t="s">
        <v>55</v>
      </c>
      <c r="P712">
        <v>3</v>
      </c>
    </row>
    <row r="713" spans="1:16" x14ac:dyDescent="0.25">
      <c r="A713" t="str">
        <f t="shared" si="33"/>
        <v>ORD0712</v>
      </c>
      <c r="B713" s="3">
        <v>46121</v>
      </c>
      <c r="C713" t="s">
        <v>97</v>
      </c>
      <c r="D713" t="s">
        <v>68</v>
      </c>
      <c r="E713" t="s">
        <v>20</v>
      </c>
      <c r="F713" t="s">
        <v>17</v>
      </c>
      <c r="G713">
        <v>3</v>
      </c>
      <c r="H713" s="10">
        <f>_xlfn.XLOOKUP(E713,Table18[Product],Table18[Unit_Price])</f>
        <v>150</v>
      </c>
      <c r="I713" s="10">
        <f>_xlfn.XLOOKUP(E713,Table18[Product],Table18[Cost_Price])</f>
        <v>75</v>
      </c>
      <c r="J713" s="10">
        <v>7</v>
      </c>
      <c r="K713" s="10">
        <f t="shared" si="34"/>
        <v>443</v>
      </c>
      <c r="L713" s="10">
        <f t="shared" si="35"/>
        <v>218</v>
      </c>
      <c r="M713" t="s">
        <v>49</v>
      </c>
      <c r="N713" t="s">
        <v>54</v>
      </c>
      <c r="O713" t="s">
        <v>71</v>
      </c>
      <c r="P713">
        <v>3</v>
      </c>
    </row>
    <row r="714" spans="1:16" x14ac:dyDescent="0.25">
      <c r="A714" t="str">
        <f t="shared" si="33"/>
        <v>ORD0713</v>
      </c>
      <c r="B714" s="3">
        <v>46318</v>
      </c>
      <c r="C714" t="s">
        <v>79</v>
      </c>
      <c r="D714" t="s">
        <v>56</v>
      </c>
      <c r="E714" t="s">
        <v>24</v>
      </c>
      <c r="F714" t="s">
        <v>23</v>
      </c>
      <c r="G714">
        <v>1</v>
      </c>
      <c r="H714" s="10">
        <f>_xlfn.XLOOKUP(E714,Table18[Product],Table18[Unit_Price])</f>
        <v>210</v>
      </c>
      <c r="I714" s="10">
        <f>_xlfn.XLOOKUP(E714,Table18[Product],Table18[Cost_Price])</f>
        <v>105</v>
      </c>
      <c r="J714" s="10">
        <v>21</v>
      </c>
      <c r="K714" s="10">
        <f t="shared" si="34"/>
        <v>189</v>
      </c>
      <c r="L714" s="10">
        <f t="shared" si="35"/>
        <v>84</v>
      </c>
      <c r="M714" t="s">
        <v>64</v>
      </c>
      <c r="N714" t="s">
        <v>58</v>
      </c>
      <c r="O714" t="s">
        <v>73</v>
      </c>
      <c r="P714">
        <v>4</v>
      </c>
    </row>
    <row r="715" spans="1:16" x14ac:dyDescent="0.25">
      <c r="A715" t="str">
        <f t="shared" si="33"/>
        <v>ORD0714</v>
      </c>
      <c r="B715" s="3">
        <v>46348</v>
      </c>
      <c r="C715" t="s">
        <v>79</v>
      </c>
      <c r="D715" t="s">
        <v>48</v>
      </c>
      <c r="E715" t="s">
        <v>18</v>
      </c>
      <c r="F715" t="s">
        <v>17</v>
      </c>
      <c r="G715">
        <v>2</v>
      </c>
      <c r="H715" s="10">
        <f>_xlfn.XLOOKUP(E715,Table18[Product],Table18[Unit_Price])</f>
        <v>180</v>
      </c>
      <c r="I715" s="10">
        <f>_xlfn.XLOOKUP(E715,Table18[Product],Table18[Cost_Price])</f>
        <v>90</v>
      </c>
      <c r="J715" s="10">
        <v>34</v>
      </c>
      <c r="K715" s="10">
        <f t="shared" si="34"/>
        <v>326</v>
      </c>
      <c r="L715" s="10">
        <f t="shared" si="35"/>
        <v>146</v>
      </c>
      <c r="M715" t="s">
        <v>53</v>
      </c>
      <c r="N715" t="s">
        <v>54</v>
      </c>
      <c r="O715" t="s">
        <v>59</v>
      </c>
      <c r="P715">
        <v>3</v>
      </c>
    </row>
    <row r="716" spans="1:16" x14ac:dyDescent="0.25">
      <c r="A716" t="str">
        <f t="shared" si="33"/>
        <v>ORD0715</v>
      </c>
      <c r="B716" s="3">
        <v>46163</v>
      </c>
      <c r="C716" t="s">
        <v>98</v>
      </c>
      <c r="D716" t="s">
        <v>70</v>
      </c>
      <c r="E716" t="s">
        <v>21</v>
      </c>
      <c r="F716" t="s">
        <v>17</v>
      </c>
      <c r="G716">
        <v>4</v>
      </c>
      <c r="H716" s="10">
        <f>_xlfn.XLOOKUP(E716,Table18[Product],Table18[Unit_Price])</f>
        <v>220</v>
      </c>
      <c r="I716" s="10">
        <f>_xlfn.XLOOKUP(E716,Table18[Product],Table18[Cost_Price])</f>
        <v>110</v>
      </c>
      <c r="J716" s="10">
        <v>42</v>
      </c>
      <c r="K716" s="10">
        <f t="shared" si="34"/>
        <v>838</v>
      </c>
      <c r="L716" s="10">
        <f t="shared" si="35"/>
        <v>398</v>
      </c>
      <c r="M716" t="s">
        <v>57</v>
      </c>
      <c r="N716" t="s">
        <v>54</v>
      </c>
      <c r="O716" t="s">
        <v>51</v>
      </c>
      <c r="P716">
        <v>5</v>
      </c>
    </row>
    <row r="717" spans="1:16" x14ac:dyDescent="0.25">
      <c r="A717" t="str">
        <f t="shared" si="33"/>
        <v>ORD0716</v>
      </c>
      <c r="B717" s="3">
        <v>46040</v>
      </c>
      <c r="C717" t="s">
        <v>78</v>
      </c>
      <c r="D717" t="s">
        <v>56</v>
      </c>
      <c r="E717" t="s">
        <v>42</v>
      </c>
      <c r="F717" t="s">
        <v>40</v>
      </c>
      <c r="G717">
        <v>5</v>
      </c>
      <c r="H717" s="10">
        <f>_xlfn.XLOOKUP(E717,Table18[Product],Table18[Unit_Price])</f>
        <v>80</v>
      </c>
      <c r="I717" s="10">
        <f>_xlfn.XLOOKUP(E717,Table18[Product],Table18[Cost_Price])</f>
        <v>40</v>
      </c>
      <c r="J717" s="10">
        <v>7</v>
      </c>
      <c r="K717" s="10">
        <f t="shared" si="34"/>
        <v>393</v>
      </c>
      <c r="L717" s="10">
        <f t="shared" si="35"/>
        <v>193</v>
      </c>
      <c r="M717" t="s">
        <v>64</v>
      </c>
      <c r="N717" t="s">
        <v>50</v>
      </c>
      <c r="O717" t="s">
        <v>55</v>
      </c>
      <c r="P717">
        <v>5</v>
      </c>
    </row>
    <row r="718" spans="1:16" x14ac:dyDescent="0.25">
      <c r="A718" t="str">
        <f t="shared" si="33"/>
        <v>ORD0717</v>
      </c>
      <c r="B718" s="3">
        <v>46369</v>
      </c>
      <c r="C718" t="s">
        <v>98</v>
      </c>
      <c r="D718" t="s">
        <v>72</v>
      </c>
      <c r="E718" t="s">
        <v>33</v>
      </c>
      <c r="F718" t="s">
        <v>31</v>
      </c>
      <c r="G718">
        <v>1</v>
      </c>
      <c r="H718" s="10">
        <f>_xlfn.XLOOKUP(E718,Table18[Product],Table18[Unit_Price])</f>
        <v>150</v>
      </c>
      <c r="I718" s="10">
        <f>_xlfn.XLOOKUP(E718,Table18[Product],Table18[Cost_Price])</f>
        <v>75</v>
      </c>
      <c r="J718" s="10">
        <v>43</v>
      </c>
      <c r="K718" s="10">
        <f t="shared" si="34"/>
        <v>107</v>
      </c>
      <c r="L718" s="10">
        <f t="shared" si="35"/>
        <v>32</v>
      </c>
      <c r="M718" t="s">
        <v>53</v>
      </c>
      <c r="N718" t="s">
        <v>50</v>
      </c>
      <c r="O718" t="s">
        <v>62</v>
      </c>
      <c r="P718">
        <v>3</v>
      </c>
    </row>
    <row r="719" spans="1:16" x14ac:dyDescent="0.25">
      <c r="A719" t="str">
        <f t="shared" si="33"/>
        <v>ORD0718</v>
      </c>
      <c r="B719" s="3">
        <v>46036</v>
      </c>
      <c r="C719" t="s">
        <v>80</v>
      </c>
      <c r="D719" t="s">
        <v>66</v>
      </c>
      <c r="E719" t="s">
        <v>30</v>
      </c>
      <c r="F719" t="s">
        <v>31</v>
      </c>
      <c r="G719">
        <v>4</v>
      </c>
      <c r="H719" s="10">
        <f>_xlfn.XLOOKUP(E719,Table18[Product],Table18[Unit_Price])</f>
        <v>110</v>
      </c>
      <c r="I719" s="10">
        <f>_xlfn.XLOOKUP(E719,Table18[Product],Table18[Cost_Price])</f>
        <v>55</v>
      </c>
      <c r="J719" s="10">
        <v>40</v>
      </c>
      <c r="K719" s="10">
        <f t="shared" si="34"/>
        <v>400</v>
      </c>
      <c r="L719" s="10">
        <f t="shared" si="35"/>
        <v>180</v>
      </c>
      <c r="M719" t="s">
        <v>57</v>
      </c>
      <c r="N719" t="s">
        <v>58</v>
      </c>
      <c r="O719" t="s">
        <v>59</v>
      </c>
      <c r="P719">
        <v>3</v>
      </c>
    </row>
    <row r="720" spans="1:16" x14ac:dyDescent="0.25">
      <c r="A720" t="str">
        <f t="shared" si="33"/>
        <v>ORD0719</v>
      </c>
      <c r="B720" s="3">
        <v>46182</v>
      </c>
      <c r="C720" t="s">
        <v>93</v>
      </c>
      <c r="D720" t="s">
        <v>52</v>
      </c>
      <c r="E720" t="s">
        <v>39</v>
      </c>
      <c r="F720" t="s">
        <v>40</v>
      </c>
      <c r="G720">
        <v>5</v>
      </c>
      <c r="H720" s="10">
        <f>_xlfn.XLOOKUP(E720,Table18[Product],Table18[Unit_Price])</f>
        <v>240</v>
      </c>
      <c r="I720" s="10">
        <f>_xlfn.XLOOKUP(E720,Table18[Product],Table18[Cost_Price])</f>
        <v>120</v>
      </c>
      <c r="J720" s="10">
        <v>40</v>
      </c>
      <c r="K720" s="10">
        <f t="shared" si="34"/>
        <v>1160</v>
      </c>
      <c r="L720" s="10">
        <f t="shared" si="35"/>
        <v>560</v>
      </c>
      <c r="M720" t="s">
        <v>49</v>
      </c>
      <c r="N720" t="s">
        <v>58</v>
      </c>
      <c r="O720" t="s">
        <v>75</v>
      </c>
      <c r="P720">
        <v>3</v>
      </c>
    </row>
    <row r="721" spans="1:16" x14ac:dyDescent="0.25">
      <c r="A721" t="str">
        <f t="shared" si="33"/>
        <v>ORD0720</v>
      </c>
      <c r="B721" s="3">
        <v>46284</v>
      </c>
      <c r="C721" t="s">
        <v>103</v>
      </c>
      <c r="D721" t="s">
        <v>66</v>
      </c>
      <c r="E721" t="s">
        <v>22</v>
      </c>
      <c r="F721" t="s">
        <v>23</v>
      </c>
      <c r="G721">
        <v>1</v>
      </c>
      <c r="H721" s="10">
        <f>_xlfn.XLOOKUP(E721,Table18[Product],Table18[Unit_Price])</f>
        <v>190</v>
      </c>
      <c r="I721" s="10">
        <f>_xlfn.XLOOKUP(E721,Table18[Product],Table18[Cost_Price])</f>
        <v>95</v>
      </c>
      <c r="J721" s="10">
        <v>25</v>
      </c>
      <c r="K721" s="10">
        <f t="shared" si="34"/>
        <v>165</v>
      </c>
      <c r="L721" s="10">
        <f t="shared" si="35"/>
        <v>70</v>
      </c>
      <c r="M721" t="s">
        <v>53</v>
      </c>
      <c r="N721" t="s">
        <v>54</v>
      </c>
      <c r="O721" t="s">
        <v>55</v>
      </c>
      <c r="P721">
        <v>3</v>
      </c>
    </row>
    <row r="722" spans="1:16" x14ac:dyDescent="0.25">
      <c r="A722" t="str">
        <f t="shared" si="33"/>
        <v>ORD0721</v>
      </c>
      <c r="B722" s="3">
        <v>46249</v>
      </c>
      <c r="C722" t="s">
        <v>86</v>
      </c>
      <c r="D722" t="s">
        <v>56</v>
      </c>
      <c r="E722" t="s">
        <v>21</v>
      </c>
      <c r="F722" t="s">
        <v>17</v>
      </c>
      <c r="G722">
        <v>4</v>
      </c>
      <c r="H722" s="10">
        <f>_xlfn.XLOOKUP(E722,Table18[Product],Table18[Unit_Price])</f>
        <v>220</v>
      </c>
      <c r="I722" s="10">
        <f>_xlfn.XLOOKUP(E722,Table18[Product],Table18[Cost_Price])</f>
        <v>110</v>
      </c>
      <c r="J722" s="10">
        <v>27</v>
      </c>
      <c r="K722" s="10">
        <f t="shared" si="34"/>
        <v>853</v>
      </c>
      <c r="L722" s="10">
        <f t="shared" si="35"/>
        <v>413</v>
      </c>
      <c r="M722" t="s">
        <v>64</v>
      </c>
      <c r="N722" t="s">
        <v>58</v>
      </c>
      <c r="O722" t="s">
        <v>51</v>
      </c>
      <c r="P722">
        <v>3</v>
      </c>
    </row>
    <row r="723" spans="1:16" x14ac:dyDescent="0.25">
      <c r="A723" t="str">
        <f t="shared" si="33"/>
        <v>ORD0722</v>
      </c>
      <c r="B723" s="3">
        <v>46095</v>
      </c>
      <c r="C723" t="s">
        <v>80</v>
      </c>
      <c r="D723" t="s">
        <v>63</v>
      </c>
      <c r="E723" t="s">
        <v>29</v>
      </c>
      <c r="F723" t="s">
        <v>28</v>
      </c>
      <c r="G723">
        <v>3</v>
      </c>
      <c r="H723" s="10">
        <f>_xlfn.XLOOKUP(E723,Table18[Product],Table18[Unit_Price])</f>
        <v>120</v>
      </c>
      <c r="I723" s="10">
        <f>_xlfn.XLOOKUP(E723,Table18[Product],Table18[Cost_Price])</f>
        <v>60</v>
      </c>
      <c r="J723" s="10">
        <v>29</v>
      </c>
      <c r="K723" s="10">
        <f t="shared" si="34"/>
        <v>331</v>
      </c>
      <c r="L723" s="10">
        <f t="shared" si="35"/>
        <v>151</v>
      </c>
      <c r="M723" t="s">
        <v>61</v>
      </c>
      <c r="N723" t="s">
        <v>54</v>
      </c>
      <c r="O723" t="s">
        <v>71</v>
      </c>
      <c r="P723">
        <v>4</v>
      </c>
    </row>
    <row r="724" spans="1:16" x14ac:dyDescent="0.25">
      <c r="A724" t="str">
        <f t="shared" si="33"/>
        <v>ORD0723</v>
      </c>
      <c r="B724" s="3">
        <v>46197</v>
      </c>
      <c r="C724" t="s">
        <v>79</v>
      </c>
      <c r="D724" t="s">
        <v>74</v>
      </c>
      <c r="E724" t="s">
        <v>21</v>
      </c>
      <c r="F724" t="s">
        <v>17</v>
      </c>
      <c r="G724">
        <v>5</v>
      </c>
      <c r="H724" s="10">
        <f>_xlfn.XLOOKUP(E724,Table18[Product],Table18[Unit_Price])</f>
        <v>220</v>
      </c>
      <c r="I724" s="10">
        <f>_xlfn.XLOOKUP(E724,Table18[Product],Table18[Cost_Price])</f>
        <v>110</v>
      </c>
      <c r="J724" s="10">
        <v>12</v>
      </c>
      <c r="K724" s="10">
        <f t="shared" si="34"/>
        <v>1088</v>
      </c>
      <c r="L724" s="10">
        <f t="shared" si="35"/>
        <v>538</v>
      </c>
      <c r="M724" t="s">
        <v>57</v>
      </c>
      <c r="N724" t="s">
        <v>58</v>
      </c>
      <c r="O724" t="s">
        <v>59</v>
      </c>
      <c r="P724">
        <v>4</v>
      </c>
    </row>
    <row r="725" spans="1:16" x14ac:dyDescent="0.25">
      <c r="A725" t="str">
        <f t="shared" si="33"/>
        <v>ORD0724</v>
      </c>
      <c r="B725" s="3">
        <v>46225</v>
      </c>
      <c r="C725" t="s">
        <v>102</v>
      </c>
      <c r="D725" t="s">
        <v>68</v>
      </c>
      <c r="E725" t="s">
        <v>21</v>
      </c>
      <c r="F725" t="s">
        <v>17</v>
      </c>
      <c r="G725">
        <v>1</v>
      </c>
      <c r="H725" s="10">
        <f>_xlfn.XLOOKUP(E725,Table18[Product],Table18[Unit_Price])</f>
        <v>220</v>
      </c>
      <c r="I725" s="10">
        <f>_xlfn.XLOOKUP(E725,Table18[Product],Table18[Cost_Price])</f>
        <v>110</v>
      </c>
      <c r="J725" s="10">
        <v>5</v>
      </c>
      <c r="K725" s="10">
        <f t="shared" si="34"/>
        <v>215</v>
      </c>
      <c r="L725" s="10">
        <f t="shared" si="35"/>
        <v>105</v>
      </c>
      <c r="M725" t="s">
        <v>49</v>
      </c>
      <c r="N725" t="s">
        <v>58</v>
      </c>
      <c r="O725" t="s">
        <v>55</v>
      </c>
      <c r="P725">
        <v>3</v>
      </c>
    </row>
    <row r="726" spans="1:16" x14ac:dyDescent="0.25">
      <c r="A726" t="str">
        <f t="shared" si="33"/>
        <v>ORD0725</v>
      </c>
      <c r="B726" s="3">
        <v>46279</v>
      </c>
      <c r="C726" t="s">
        <v>89</v>
      </c>
      <c r="D726" t="s">
        <v>60</v>
      </c>
      <c r="E726" t="s">
        <v>37</v>
      </c>
      <c r="F726" t="s">
        <v>35</v>
      </c>
      <c r="G726">
        <v>2</v>
      </c>
      <c r="H726" s="10">
        <f>_xlfn.XLOOKUP(E726,Table18[Product],Table18[Unit_Price])</f>
        <v>160</v>
      </c>
      <c r="I726" s="10">
        <f>_xlfn.XLOOKUP(E726,Table18[Product],Table18[Cost_Price])</f>
        <v>80</v>
      </c>
      <c r="J726" s="10">
        <v>21</v>
      </c>
      <c r="K726" s="10">
        <f t="shared" si="34"/>
        <v>299</v>
      </c>
      <c r="L726" s="10">
        <f t="shared" si="35"/>
        <v>139</v>
      </c>
      <c r="M726" t="s">
        <v>53</v>
      </c>
      <c r="N726" t="s">
        <v>54</v>
      </c>
      <c r="O726" t="s">
        <v>51</v>
      </c>
      <c r="P726">
        <v>3</v>
      </c>
    </row>
    <row r="727" spans="1:16" x14ac:dyDescent="0.25">
      <c r="A727" t="str">
        <f t="shared" si="33"/>
        <v>ORD0726</v>
      </c>
      <c r="B727" s="3">
        <v>46116</v>
      </c>
      <c r="C727" t="s">
        <v>79</v>
      </c>
      <c r="D727" t="s">
        <v>63</v>
      </c>
      <c r="E727" t="s">
        <v>19</v>
      </c>
      <c r="F727" t="s">
        <v>17</v>
      </c>
      <c r="G727">
        <v>1</v>
      </c>
      <c r="H727" s="10">
        <f>_xlfn.XLOOKUP(E727,Table18[Product],Table18[Unit_Price])</f>
        <v>200</v>
      </c>
      <c r="I727" s="10">
        <f>_xlfn.XLOOKUP(E727,Table18[Product],Table18[Cost_Price])</f>
        <v>100</v>
      </c>
      <c r="J727" s="10">
        <v>29</v>
      </c>
      <c r="K727" s="10">
        <f t="shared" si="34"/>
        <v>171</v>
      </c>
      <c r="L727" s="10">
        <f t="shared" si="35"/>
        <v>71</v>
      </c>
      <c r="M727" t="s">
        <v>61</v>
      </c>
      <c r="N727" t="s">
        <v>58</v>
      </c>
      <c r="O727" t="s">
        <v>59</v>
      </c>
      <c r="P727">
        <v>5</v>
      </c>
    </row>
    <row r="728" spans="1:16" x14ac:dyDescent="0.25">
      <c r="A728" t="str">
        <f t="shared" si="33"/>
        <v>ORD0727</v>
      </c>
      <c r="B728" s="3">
        <v>46227</v>
      </c>
      <c r="C728" t="s">
        <v>99</v>
      </c>
      <c r="D728" t="s">
        <v>70</v>
      </c>
      <c r="E728" t="s">
        <v>32</v>
      </c>
      <c r="F728" t="s">
        <v>31</v>
      </c>
      <c r="G728">
        <v>4</v>
      </c>
      <c r="H728" s="10">
        <f>_xlfn.XLOOKUP(E728,Table18[Product],Table18[Unit_Price])</f>
        <v>130</v>
      </c>
      <c r="I728" s="10">
        <f>_xlfn.XLOOKUP(E728,Table18[Product],Table18[Cost_Price])</f>
        <v>65</v>
      </c>
      <c r="J728" s="10">
        <v>36</v>
      </c>
      <c r="K728" s="10">
        <f t="shared" si="34"/>
        <v>484</v>
      </c>
      <c r="L728" s="10">
        <f t="shared" si="35"/>
        <v>224</v>
      </c>
      <c r="M728" t="s">
        <v>53</v>
      </c>
      <c r="N728" t="s">
        <v>58</v>
      </c>
      <c r="O728" t="s">
        <v>62</v>
      </c>
      <c r="P728">
        <v>4</v>
      </c>
    </row>
    <row r="729" spans="1:16" x14ac:dyDescent="0.25">
      <c r="A729" t="str">
        <f t="shared" si="33"/>
        <v>ORD0728</v>
      </c>
      <c r="B729" s="3">
        <v>46107</v>
      </c>
      <c r="C729" t="s">
        <v>82</v>
      </c>
      <c r="D729" t="s">
        <v>52</v>
      </c>
      <c r="E729" t="s">
        <v>18</v>
      </c>
      <c r="F729" t="s">
        <v>17</v>
      </c>
      <c r="G729">
        <v>3</v>
      </c>
      <c r="H729" s="10">
        <f>_xlfn.XLOOKUP(E729,Table18[Product],Table18[Unit_Price])</f>
        <v>180</v>
      </c>
      <c r="I729" s="10">
        <f>_xlfn.XLOOKUP(E729,Table18[Product],Table18[Cost_Price])</f>
        <v>90</v>
      </c>
      <c r="J729" s="10">
        <v>32</v>
      </c>
      <c r="K729" s="10">
        <f t="shared" si="34"/>
        <v>508</v>
      </c>
      <c r="L729" s="10">
        <f t="shared" si="35"/>
        <v>238</v>
      </c>
      <c r="M729" t="s">
        <v>49</v>
      </c>
      <c r="N729" t="s">
        <v>54</v>
      </c>
      <c r="O729" t="s">
        <v>73</v>
      </c>
      <c r="P729">
        <v>4</v>
      </c>
    </row>
    <row r="730" spans="1:16" x14ac:dyDescent="0.25">
      <c r="A730" t="str">
        <f t="shared" si="33"/>
        <v>ORD0729</v>
      </c>
      <c r="B730" s="3">
        <v>46095</v>
      </c>
      <c r="C730" t="s">
        <v>104</v>
      </c>
      <c r="D730" t="s">
        <v>48</v>
      </c>
      <c r="E730" t="s">
        <v>38</v>
      </c>
      <c r="F730" t="s">
        <v>35</v>
      </c>
      <c r="G730">
        <v>4</v>
      </c>
      <c r="H730" s="10">
        <f>_xlfn.XLOOKUP(E730,Table18[Product],Table18[Unit_Price])</f>
        <v>170</v>
      </c>
      <c r="I730" s="10">
        <f>_xlfn.XLOOKUP(E730,Table18[Product],Table18[Cost_Price])</f>
        <v>85</v>
      </c>
      <c r="J730" s="10">
        <v>49</v>
      </c>
      <c r="K730" s="10">
        <f t="shared" si="34"/>
        <v>631</v>
      </c>
      <c r="L730" s="10">
        <f t="shared" si="35"/>
        <v>291</v>
      </c>
      <c r="M730" t="s">
        <v>57</v>
      </c>
      <c r="N730" t="s">
        <v>50</v>
      </c>
      <c r="O730" t="s">
        <v>55</v>
      </c>
      <c r="P730">
        <v>3</v>
      </c>
    </row>
    <row r="731" spans="1:16" x14ac:dyDescent="0.25">
      <c r="A731" t="str">
        <f t="shared" si="33"/>
        <v>ORD0730</v>
      </c>
      <c r="B731" s="3">
        <v>46180</v>
      </c>
      <c r="C731" t="s">
        <v>99</v>
      </c>
      <c r="D731" t="s">
        <v>68</v>
      </c>
      <c r="E731" t="s">
        <v>20</v>
      </c>
      <c r="F731" t="s">
        <v>17</v>
      </c>
      <c r="G731">
        <v>2</v>
      </c>
      <c r="H731" s="10">
        <f>_xlfn.XLOOKUP(E731,Table18[Product],Table18[Unit_Price])</f>
        <v>150</v>
      </c>
      <c r="I731" s="10">
        <f>_xlfn.XLOOKUP(E731,Table18[Product],Table18[Cost_Price])</f>
        <v>75</v>
      </c>
      <c r="J731" s="10">
        <v>50</v>
      </c>
      <c r="K731" s="10">
        <f t="shared" si="34"/>
        <v>250</v>
      </c>
      <c r="L731" s="10">
        <f t="shared" si="35"/>
        <v>100</v>
      </c>
      <c r="M731" t="s">
        <v>49</v>
      </c>
      <c r="N731" t="s">
        <v>58</v>
      </c>
      <c r="O731" t="s">
        <v>69</v>
      </c>
      <c r="P731">
        <v>5</v>
      </c>
    </row>
    <row r="732" spans="1:16" x14ac:dyDescent="0.25">
      <c r="A732" t="str">
        <f t="shared" si="33"/>
        <v>ORD0731</v>
      </c>
      <c r="B732" s="3">
        <v>46299</v>
      </c>
      <c r="C732" t="s">
        <v>87</v>
      </c>
      <c r="D732" t="s">
        <v>70</v>
      </c>
      <c r="E732" t="s">
        <v>25</v>
      </c>
      <c r="F732" t="s">
        <v>26</v>
      </c>
      <c r="G732">
        <v>5</v>
      </c>
      <c r="H732" s="10">
        <f>_xlfn.XLOOKUP(E732,Table18[Product],Table18[Unit_Price])</f>
        <v>170</v>
      </c>
      <c r="I732" s="10">
        <f>_xlfn.XLOOKUP(E732,Table18[Product],Table18[Cost_Price])</f>
        <v>85</v>
      </c>
      <c r="J732" s="10">
        <v>36</v>
      </c>
      <c r="K732" s="10">
        <f t="shared" si="34"/>
        <v>814</v>
      </c>
      <c r="L732" s="10">
        <f t="shared" si="35"/>
        <v>389</v>
      </c>
      <c r="M732" t="s">
        <v>53</v>
      </c>
      <c r="N732" t="s">
        <v>54</v>
      </c>
      <c r="O732" t="s">
        <v>65</v>
      </c>
      <c r="P732">
        <v>5</v>
      </c>
    </row>
    <row r="733" spans="1:16" x14ac:dyDescent="0.25">
      <c r="A733" t="str">
        <f t="shared" si="33"/>
        <v>ORD0732</v>
      </c>
      <c r="B733" s="3">
        <v>46199</v>
      </c>
      <c r="C733" t="s">
        <v>98</v>
      </c>
      <c r="D733" t="s">
        <v>60</v>
      </c>
      <c r="E733" t="s">
        <v>24</v>
      </c>
      <c r="F733" t="s">
        <v>23</v>
      </c>
      <c r="G733">
        <v>1</v>
      </c>
      <c r="H733" s="10">
        <f>_xlfn.XLOOKUP(E733,Table18[Product],Table18[Unit_Price])</f>
        <v>210</v>
      </c>
      <c r="I733" s="10">
        <f>_xlfn.XLOOKUP(E733,Table18[Product],Table18[Cost_Price])</f>
        <v>105</v>
      </c>
      <c r="J733" s="10">
        <v>0</v>
      </c>
      <c r="K733" s="10">
        <f t="shared" si="34"/>
        <v>210</v>
      </c>
      <c r="L733" s="10">
        <f t="shared" si="35"/>
        <v>105</v>
      </c>
      <c r="M733" t="s">
        <v>53</v>
      </c>
      <c r="N733" t="s">
        <v>50</v>
      </c>
      <c r="O733" t="s">
        <v>62</v>
      </c>
      <c r="P733">
        <v>3</v>
      </c>
    </row>
    <row r="734" spans="1:16" x14ac:dyDescent="0.25">
      <c r="A734" t="str">
        <f t="shared" si="33"/>
        <v>ORD0733</v>
      </c>
      <c r="B734" s="3">
        <v>46244</v>
      </c>
      <c r="C734" t="s">
        <v>97</v>
      </c>
      <c r="D734" t="s">
        <v>60</v>
      </c>
      <c r="E734" t="s">
        <v>29</v>
      </c>
      <c r="F734" t="s">
        <v>28</v>
      </c>
      <c r="G734">
        <v>2</v>
      </c>
      <c r="H734" s="10">
        <f>_xlfn.XLOOKUP(E734,Table18[Product],Table18[Unit_Price])</f>
        <v>120</v>
      </c>
      <c r="I734" s="10">
        <f>_xlfn.XLOOKUP(E734,Table18[Product],Table18[Cost_Price])</f>
        <v>60</v>
      </c>
      <c r="J734" s="10">
        <v>42</v>
      </c>
      <c r="K734" s="10">
        <f t="shared" si="34"/>
        <v>198</v>
      </c>
      <c r="L734" s="10">
        <f t="shared" si="35"/>
        <v>78</v>
      </c>
      <c r="M734" t="s">
        <v>61</v>
      </c>
      <c r="N734" t="s">
        <v>50</v>
      </c>
      <c r="O734" t="s">
        <v>51</v>
      </c>
      <c r="P734">
        <v>3</v>
      </c>
    </row>
    <row r="735" spans="1:16" x14ac:dyDescent="0.25">
      <c r="A735" t="str">
        <f t="shared" si="33"/>
        <v>ORD0734</v>
      </c>
      <c r="B735" s="3">
        <v>46208</v>
      </c>
      <c r="C735" t="s">
        <v>76</v>
      </c>
      <c r="D735" t="s">
        <v>48</v>
      </c>
      <c r="E735" t="s">
        <v>21</v>
      </c>
      <c r="F735" t="s">
        <v>17</v>
      </c>
      <c r="G735">
        <v>2</v>
      </c>
      <c r="H735" s="10">
        <f>_xlfn.XLOOKUP(E735,Table18[Product],Table18[Unit_Price])</f>
        <v>220</v>
      </c>
      <c r="I735" s="10">
        <f>_xlfn.XLOOKUP(E735,Table18[Product],Table18[Cost_Price])</f>
        <v>110</v>
      </c>
      <c r="J735" s="10">
        <v>7</v>
      </c>
      <c r="K735" s="10">
        <f t="shared" si="34"/>
        <v>433</v>
      </c>
      <c r="L735" s="10">
        <f t="shared" si="35"/>
        <v>213</v>
      </c>
      <c r="M735" t="s">
        <v>57</v>
      </c>
      <c r="N735" t="s">
        <v>58</v>
      </c>
      <c r="O735" t="s">
        <v>67</v>
      </c>
      <c r="P735">
        <v>4</v>
      </c>
    </row>
    <row r="736" spans="1:16" x14ac:dyDescent="0.25">
      <c r="A736" t="str">
        <f t="shared" si="33"/>
        <v>ORD0735</v>
      </c>
      <c r="B736" s="3">
        <v>46050</v>
      </c>
      <c r="C736" t="s">
        <v>89</v>
      </c>
      <c r="D736" t="s">
        <v>66</v>
      </c>
      <c r="E736" t="s">
        <v>41</v>
      </c>
      <c r="F736" t="s">
        <v>40</v>
      </c>
      <c r="G736">
        <v>3</v>
      </c>
      <c r="H736" s="10">
        <f>_xlfn.XLOOKUP(E736,Table18[Product],Table18[Unit_Price])</f>
        <v>100</v>
      </c>
      <c r="I736" s="10">
        <f>_xlfn.XLOOKUP(E736,Table18[Product],Table18[Cost_Price])</f>
        <v>50</v>
      </c>
      <c r="J736" s="10">
        <v>36</v>
      </c>
      <c r="K736" s="10">
        <f t="shared" si="34"/>
        <v>264</v>
      </c>
      <c r="L736" s="10">
        <f t="shared" si="35"/>
        <v>114</v>
      </c>
      <c r="M736" t="s">
        <v>53</v>
      </c>
      <c r="N736" t="s">
        <v>58</v>
      </c>
      <c r="O736" t="s">
        <v>62</v>
      </c>
      <c r="P736">
        <v>5</v>
      </c>
    </row>
    <row r="737" spans="1:16" x14ac:dyDescent="0.25">
      <c r="A737" t="str">
        <f t="shared" si="33"/>
        <v>ORD0736</v>
      </c>
      <c r="B737" s="3">
        <v>46115</v>
      </c>
      <c r="C737" t="s">
        <v>83</v>
      </c>
      <c r="D737" t="s">
        <v>74</v>
      </c>
      <c r="E737" t="s">
        <v>37</v>
      </c>
      <c r="F737" t="s">
        <v>35</v>
      </c>
      <c r="G737">
        <v>3</v>
      </c>
      <c r="H737" s="10">
        <f>_xlfn.XLOOKUP(E737,Table18[Product],Table18[Unit_Price])</f>
        <v>160</v>
      </c>
      <c r="I737" s="10">
        <f>_xlfn.XLOOKUP(E737,Table18[Product],Table18[Cost_Price])</f>
        <v>80</v>
      </c>
      <c r="J737" s="10">
        <v>18</v>
      </c>
      <c r="K737" s="10">
        <f t="shared" si="34"/>
        <v>462</v>
      </c>
      <c r="L737" s="10">
        <f t="shared" si="35"/>
        <v>222</v>
      </c>
      <c r="M737" t="s">
        <v>61</v>
      </c>
      <c r="N737" t="s">
        <v>54</v>
      </c>
      <c r="O737" t="s">
        <v>62</v>
      </c>
      <c r="P737">
        <v>5</v>
      </c>
    </row>
    <row r="738" spans="1:16" x14ac:dyDescent="0.25">
      <c r="A738" t="str">
        <f t="shared" si="33"/>
        <v>ORD0737</v>
      </c>
      <c r="B738" s="3">
        <v>46372</v>
      </c>
      <c r="C738" t="s">
        <v>90</v>
      </c>
      <c r="D738" t="s">
        <v>52</v>
      </c>
      <c r="E738" t="s">
        <v>41</v>
      </c>
      <c r="F738" t="s">
        <v>40</v>
      </c>
      <c r="G738">
        <v>3</v>
      </c>
      <c r="H738" s="10">
        <f>_xlfn.XLOOKUP(E738,Table18[Product],Table18[Unit_Price])</f>
        <v>100</v>
      </c>
      <c r="I738" s="10">
        <f>_xlfn.XLOOKUP(E738,Table18[Product],Table18[Cost_Price])</f>
        <v>50</v>
      </c>
      <c r="J738" s="10">
        <v>27</v>
      </c>
      <c r="K738" s="10">
        <f t="shared" si="34"/>
        <v>273</v>
      </c>
      <c r="L738" s="10">
        <f t="shared" si="35"/>
        <v>123</v>
      </c>
      <c r="M738" t="s">
        <v>57</v>
      </c>
      <c r="N738" t="s">
        <v>58</v>
      </c>
      <c r="O738" t="s">
        <v>69</v>
      </c>
      <c r="P738">
        <v>5</v>
      </c>
    </row>
    <row r="739" spans="1:16" x14ac:dyDescent="0.25">
      <c r="A739" t="str">
        <f t="shared" si="33"/>
        <v>ORD0738</v>
      </c>
      <c r="B739" s="3">
        <v>46243</v>
      </c>
      <c r="C739" t="s">
        <v>86</v>
      </c>
      <c r="D739" t="s">
        <v>48</v>
      </c>
      <c r="E739" t="s">
        <v>39</v>
      </c>
      <c r="F739" t="s">
        <v>40</v>
      </c>
      <c r="G739">
        <v>3</v>
      </c>
      <c r="H739" s="10">
        <f>_xlfn.XLOOKUP(E739,Table18[Product],Table18[Unit_Price])</f>
        <v>240</v>
      </c>
      <c r="I739" s="10">
        <f>_xlfn.XLOOKUP(E739,Table18[Product],Table18[Cost_Price])</f>
        <v>120</v>
      </c>
      <c r="J739" s="10">
        <v>47</v>
      </c>
      <c r="K739" s="10">
        <f t="shared" si="34"/>
        <v>673</v>
      </c>
      <c r="L739" s="10">
        <f t="shared" si="35"/>
        <v>313</v>
      </c>
      <c r="M739" t="s">
        <v>61</v>
      </c>
      <c r="N739" t="s">
        <v>50</v>
      </c>
      <c r="O739" t="s">
        <v>55</v>
      </c>
      <c r="P739">
        <v>4</v>
      </c>
    </row>
    <row r="740" spans="1:16" x14ac:dyDescent="0.25">
      <c r="A740" t="str">
        <f t="shared" si="33"/>
        <v>ORD0739</v>
      </c>
      <c r="B740" s="3">
        <v>46026</v>
      </c>
      <c r="C740" t="s">
        <v>105</v>
      </c>
      <c r="D740" t="s">
        <v>63</v>
      </c>
      <c r="E740" t="s">
        <v>18</v>
      </c>
      <c r="F740" t="s">
        <v>17</v>
      </c>
      <c r="G740">
        <v>2</v>
      </c>
      <c r="H740" s="10">
        <f>_xlfn.XLOOKUP(E740,Table18[Product],Table18[Unit_Price])</f>
        <v>180</v>
      </c>
      <c r="I740" s="10">
        <f>_xlfn.XLOOKUP(E740,Table18[Product],Table18[Cost_Price])</f>
        <v>90</v>
      </c>
      <c r="J740" s="10">
        <v>22</v>
      </c>
      <c r="K740" s="10">
        <f t="shared" si="34"/>
        <v>338</v>
      </c>
      <c r="L740" s="10">
        <f t="shared" si="35"/>
        <v>158</v>
      </c>
      <c r="M740" t="s">
        <v>49</v>
      </c>
      <c r="N740" t="s">
        <v>50</v>
      </c>
      <c r="O740" t="s">
        <v>59</v>
      </c>
      <c r="P740">
        <v>4</v>
      </c>
    </row>
    <row r="741" spans="1:16" x14ac:dyDescent="0.25">
      <c r="A741" t="str">
        <f t="shared" si="33"/>
        <v>ORD0740</v>
      </c>
      <c r="B741" s="3">
        <v>46191</v>
      </c>
      <c r="C741" t="s">
        <v>80</v>
      </c>
      <c r="D741" t="s">
        <v>68</v>
      </c>
      <c r="E741" t="s">
        <v>25</v>
      </c>
      <c r="F741" t="s">
        <v>26</v>
      </c>
      <c r="G741">
        <v>3</v>
      </c>
      <c r="H741" s="10">
        <f>_xlfn.XLOOKUP(E741,Table18[Product],Table18[Unit_Price])</f>
        <v>170</v>
      </c>
      <c r="I741" s="10">
        <f>_xlfn.XLOOKUP(E741,Table18[Product],Table18[Cost_Price])</f>
        <v>85</v>
      </c>
      <c r="J741" s="10">
        <v>7</v>
      </c>
      <c r="K741" s="10">
        <f t="shared" si="34"/>
        <v>503</v>
      </c>
      <c r="L741" s="10">
        <f t="shared" si="35"/>
        <v>248</v>
      </c>
      <c r="M741" t="s">
        <v>57</v>
      </c>
      <c r="N741" t="s">
        <v>58</v>
      </c>
      <c r="O741" t="s">
        <v>62</v>
      </c>
      <c r="P741">
        <v>3</v>
      </c>
    </row>
    <row r="742" spans="1:16" x14ac:dyDescent="0.25">
      <c r="A742" t="str">
        <f t="shared" si="33"/>
        <v>ORD0741</v>
      </c>
      <c r="B742" s="3">
        <v>46195</v>
      </c>
      <c r="C742" t="s">
        <v>84</v>
      </c>
      <c r="D742" t="s">
        <v>60</v>
      </c>
      <c r="E742" t="s">
        <v>18</v>
      </c>
      <c r="F742" t="s">
        <v>17</v>
      </c>
      <c r="G742">
        <v>2</v>
      </c>
      <c r="H742" s="10">
        <f>_xlfn.XLOOKUP(E742,Table18[Product],Table18[Unit_Price])</f>
        <v>180</v>
      </c>
      <c r="I742" s="10">
        <f>_xlfn.XLOOKUP(E742,Table18[Product],Table18[Cost_Price])</f>
        <v>90</v>
      </c>
      <c r="J742" s="10">
        <v>1</v>
      </c>
      <c r="K742" s="10">
        <f t="shared" si="34"/>
        <v>359</v>
      </c>
      <c r="L742" s="10">
        <f t="shared" si="35"/>
        <v>179</v>
      </c>
      <c r="M742" t="s">
        <v>64</v>
      </c>
      <c r="N742" t="s">
        <v>54</v>
      </c>
      <c r="O742" t="s">
        <v>65</v>
      </c>
      <c r="P742">
        <v>3</v>
      </c>
    </row>
    <row r="743" spans="1:16" x14ac:dyDescent="0.25">
      <c r="A743" t="str">
        <f t="shared" si="33"/>
        <v>ORD0742</v>
      </c>
      <c r="B743" s="3">
        <v>46298</v>
      </c>
      <c r="C743" t="s">
        <v>99</v>
      </c>
      <c r="D743" t="s">
        <v>52</v>
      </c>
      <c r="E743" t="s">
        <v>41</v>
      </c>
      <c r="F743" t="s">
        <v>40</v>
      </c>
      <c r="G743">
        <v>5</v>
      </c>
      <c r="H743" s="10">
        <f>_xlfn.XLOOKUP(E743,Table18[Product],Table18[Unit_Price])</f>
        <v>100</v>
      </c>
      <c r="I743" s="10">
        <f>_xlfn.XLOOKUP(E743,Table18[Product],Table18[Cost_Price])</f>
        <v>50</v>
      </c>
      <c r="J743" s="10">
        <v>13</v>
      </c>
      <c r="K743" s="10">
        <f t="shared" si="34"/>
        <v>487</v>
      </c>
      <c r="L743" s="10">
        <f t="shared" si="35"/>
        <v>237</v>
      </c>
      <c r="M743" t="s">
        <v>64</v>
      </c>
      <c r="N743" t="s">
        <v>58</v>
      </c>
      <c r="O743" t="s">
        <v>65</v>
      </c>
      <c r="P743">
        <v>4</v>
      </c>
    </row>
    <row r="744" spans="1:16" x14ac:dyDescent="0.25">
      <c r="A744" t="str">
        <f t="shared" si="33"/>
        <v>ORD0743</v>
      </c>
      <c r="B744" s="3">
        <v>46152</v>
      </c>
      <c r="C744" t="s">
        <v>98</v>
      </c>
      <c r="D744" t="s">
        <v>72</v>
      </c>
      <c r="E744" t="s">
        <v>18</v>
      </c>
      <c r="F744" t="s">
        <v>17</v>
      </c>
      <c r="G744">
        <v>4</v>
      </c>
      <c r="H744" s="10">
        <f>_xlfn.XLOOKUP(E744,Table18[Product],Table18[Unit_Price])</f>
        <v>180</v>
      </c>
      <c r="I744" s="10">
        <f>_xlfn.XLOOKUP(E744,Table18[Product],Table18[Cost_Price])</f>
        <v>90</v>
      </c>
      <c r="J744" s="10">
        <v>17</v>
      </c>
      <c r="K744" s="10">
        <f t="shared" si="34"/>
        <v>703</v>
      </c>
      <c r="L744" s="10">
        <f t="shared" si="35"/>
        <v>343</v>
      </c>
      <c r="M744" t="s">
        <v>49</v>
      </c>
      <c r="N744" t="s">
        <v>50</v>
      </c>
      <c r="O744" t="s">
        <v>59</v>
      </c>
      <c r="P744">
        <v>3</v>
      </c>
    </row>
    <row r="745" spans="1:16" x14ac:dyDescent="0.25">
      <c r="A745" t="str">
        <f t="shared" si="33"/>
        <v>ORD0744</v>
      </c>
      <c r="B745" s="3">
        <v>46341</v>
      </c>
      <c r="C745" t="s">
        <v>99</v>
      </c>
      <c r="D745" t="s">
        <v>74</v>
      </c>
      <c r="E745" t="s">
        <v>36</v>
      </c>
      <c r="F745" t="s">
        <v>35</v>
      </c>
      <c r="G745">
        <v>2</v>
      </c>
      <c r="H745" s="10">
        <f>_xlfn.XLOOKUP(E745,Table18[Product],Table18[Unit_Price])</f>
        <v>220</v>
      </c>
      <c r="I745" s="10">
        <f>_xlfn.XLOOKUP(E745,Table18[Product],Table18[Cost_Price])</f>
        <v>110</v>
      </c>
      <c r="J745" s="10">
        <v>3</v>
      </c>
      <c r="K745" s="10">
        <f t="shared" si="34"/>
        <v>437</v>
      </c>
      <c r="L745" s="10">
        <f t="shared" si="35"/>
        <v>217</v>
      </c>
      <c r="M745" t="s">
        <v>57</v>
      </c>
      <c r="N745" t="s">
        <v>54</v>
      </c>
      <c r="O745" t="s">
        <v>71</v>
      </c>
      <c r="P745">
        <v>5</v>
      </c>
    </row>
    <row r="746" spans="1:16" x14ac:dyDescent="0.25">
      <c r="A746" t="str">
        <f t="shared" si="33"/>
        <v>ORD0745</v>
      </c>
      <c r="B746" s="3">
        <v>46067</v>
      </c>
      <c r="C746" t="s">
        <v>90</v>
      </c>
      <c r="D746" t="s">
        <v>48</v>
      </c>
      <c r="E746" t="s">
        <v>20</v>
      </c>
      <c r="F746" t="s">
        <v>17</v>
      </c>
      <c r="G746">
        <v>5</v>
      </c>
      <c r="H746" s="10">
        <f>_xlfn.XLOOKUP(E746,Table18[Product],Table18[Unit_Price])</f>
        <v>150</v>
      </c>
      <c r="I746" s="10">
        <f>_xlfn.XLOOKUP(E746,Table18[Product],Table18[Cost_Price])</f>
        <v>75</v>
      </c>
      <c r="J746" s="10">
        <v>33</v>
      </c>
      <c r="K746" s="10">
        <f t="shared" si="34"/>
        <v>717</v>
      </c>
      <c r="L746" s="10">
        <f t="shared" si="35"/>
        <v>342</v>
      </c>
      <c r="M746" t="s">
        <v>49</v>
      </c>
      <c r="N746" t="s">
        <v>54</v>
      </c>
      <c r="O746" t="s">
        <v>71</v>
      </c>
      <c r="P746">
        <v>3</v>
      </c>
    </row>
    <row r="747" spans="1:16" x14ac:dyDescent="0.25">
      <c r="A747" t="str">
        <f t="shared" si="33"/>
        <v>ORD0746</v>
      </c>
      <c r="B747" s="3">
        <v>46345</v>
      </c>
      <c r="C747" t="s">
        <v>99</v>
      </c>
      <c r="D747" t="s">
        <v>70</v>
      </c>
      <c r="E747" t="s">
        <v>36</v>
      </c>
      <c r="F747" t="s">
        <v>35</v>
      </c>
      <c r="G747">
        <v>2</v>
      </c>
      <c r="H747" s="10">
        <f>_xlfn.XLOOKUP(E747,Table18[Product],Table18[Unit_Price])</f>
        <v>220</v>
      </c>
      <c r="I747" s="10">
        <f>_xlfn.XLOOKUP(E747,Table18[Product],Table18[Cost_Price])</f>
        <v>110</v>
      </c>
      <c r="J747" s="10">
        <v>31</v>
      </c>
      <c r="K747" s="10">
        <f t="shared" si="34"/>
        <v>409</v>
      </c>
      <c r="L747" s="10">
        <f t="shared" si="35"/>
        <v>189</v>
      </c>
      <c r="M747" t="s">
        <v>57</v>
      </c>
      <c r="N747" t="s">
        <v>50</v>
      </c>
      <c r="O747" t="s">
        <v>62</v>
      </c>
      <c r="P747">
        <v>4</v>
      </c>
    </row>
    <row r="748" spans="1:16" x14ac:dyDescent="0.25">
      <c r="A748" t="str">
        <f t="shared" si="33"/>
        <v>ORD0747</v>
      </c>
      <c r="B748" s="3">
        <v>46155</v>
      </c>
      <c r="C748" t="s">
        <v>102</v>
      </c>
      <c r="D748" t="s">
        <v>72</v>
      </c>
      <c r="E748" t="s">
        <v>30</v>
      </c>
      <c r="F748" t="s">
        <v>31</v>
      </c>
      <c r="G748">
        <v>5</v>
      </c>
      <c r="H748" s="10">
        <f>_xlfn.XLOOKUP(E748,Table18[Product],Table18[Unit_Price])</f>
        <v>110</v>
      </c>
      <c r="I748" s="10">
        <f>_xlfn.XLOOKUP(E748,Table18[Product],Table18[Cost_Price])</f>
        <v>55</v>
      </c>
      <c r="J748" s="10">
        <v>38</v>
      </c>
      <c r="K748" s="10">
        <f t="shared" si="34"/>
        <v>512</v>
      </c>
      <c r="L748" s="10">
        <f t="shared" si="35"/>
        <v>237</v>
      </c>
      <c r="M748" t="s">
        <v>57</v>
      </c>
      <c r="N748" t="s">
        <v>50</v>
      </c>
      <c r="O748" t="s">
        <v>71</v>
      </c>
      <c r="P748">
        <v>4</v>
      </c>
    </row>
    <row r="749" spans="1:16" x14ac:dyDescent="0.25">
      <c r="A749" t="str">
        <f t="shared" si="33"/>
        <v>ORD0748</v>
      </c>
      <c r="B749" s="3">
        <v>46186</v>
      </c>
      <c r="C749" t="s">
        <v>100</v>
      </c>
      <c r="D749" t="s">
        <v>63</v>
      </c>
      <c r="E749" t="s">
        <v>21</v>
      </c>
      <c r="F749" t="s">
        <v>17</v>
      </c>
      <c r="G749">
        <v>2</v>
      </c>
      <c r="H749" s="10">
        <f>_xlfn.XLOOKUP(E749,Table18[Product],Table18[Unit_Price])</f>
        <v>220</v>
      </c>
      <c r="I749" s="10">
        <f>_xlfn.XLOOKUP(E749,Table18[Product],Table18[Cost_Price])</f>
        <v>110</v>
      </c>
      <c r="J749" s="10">
        <v>31</v>
      </c>
      <c r="K749" s="10">
        <f t="shared" si="34"/>
        <v>409</v>
      </c>
      <c r="L749" s="10">
        <f t="shared" si="35"/>
        <v>189</v>
      </c>
      <c r="M749" t="s">
        <v>61</v>
      </c>
      <c r="N749" t="s">
        <v>58</v>
      </c>
      <c r="O749" t="s">
        <v>65</v>
      </c>
      <c r="P749">
        <v>5</v>
      </c>
    </row>
    <row r="750" spans="1:16" x14ac:dyDescent="0.25">
      <c r="A750" t="str">
        <f t="shared" si="33"/>
        <v>ORD0749</v>
      </c>
      <c r="B750" s="3">
        <v>46190</v>
      </c>
      <c r="C750" t="s">
        <v>86</v>
      </c>
      <c r="D750" t="s">
        <v>70</v>
      </c>
      <c r="E750" t="s">
        <v>36</v>
      </c>
      <c r="F750" t="s">
        <v>35</v>
      </c>
      <c r="G750">
        <v>4</v>
      </c>
      <c r="H750" s="10">
        <f>_xlfn.XLOOKUP(E750,Table18[Product],Table18[Unit_Price])</f>
        <v>220</v>
      </c>
      <c r="I750" s="10">
        <f>_xlfn.XLOOKUP(E750,Table18[Product],Table18[Cost_Price])</f>
        <v>110</v>
      </c>
      <c r="J750" s="10">
        <v>30</v>
      </c>
      <c r="K750" s="10">
        <f t="shared" si="34"/>
        <v>850</v>
      </c>
      <c r="L750" s="10">
        <f t="shared" si="35"/>
        <v>410</v>
      </c>
      <c r="M750" t="s">
        <v>53</v>
      </c>
      <c r="N750" t="s">
        <v>50</v>
      </c>
      <c r="O750" t="s">
        <v>71</v>
      </c>
      <c r="P750">
        <v>4</v>
      </c>
    </row>
    <row r="751" spans="1:16" x14ac:dyDescent="0.25">
      <c r="A751" t="str">
        <f t="shared" si="33"/>
        <v>ORD0750</v>
      </c>
      <c r="B751" s="3">
        <v>46354</v>
      </c>
      <c r="C751" t="s">
        <v>97</v>
      </c>
      <c r="D751" t="s">
        <v>72</v>
      </c>
      <c r="E751" t="s">
        <v>36</v>
      </c>
      <c r="F751" t="s">
        <v>35</v>
      </c>
      <c r="G751">
        <v>3</v>
      </c>
      <c r="H751" s="10">
        <f>_xlfn.XLOOKUP(E751,Table18[Product],Table18[Unit_Price])</f>
        <v>220</v>
      </c>
      <c r="I751" s="10">
        <f>_xlfn.XLOOKUP(E751,Table18[Product],Table18[Cost_Price])</f>
        <v>110</v>
      </c>
      <c r="J751" s="10">
        <v>47</v>
      </c>
      <c r="K751" s="10">
        <f t="shared" si="34"/>
        <v>613</v>
      </c>
      <c r="L751" s="10">
        <f t="shared" si="35"/>
        <v>283</v>
      </c>
      <c r="M751" t="s">
        <v>64</v>
      </c>
      <c r="N751" t="s">
        <v>50</v>
      </c>
      <c r="O751" t="s">
        <v>73</v>
      </c>
      <c r="P751">
        <v>4</v>
      </c>
    </row>
    <row r="752" spans="1:16" x14ac:dyDescent="0.25">
      <c r="A752" t="str">
        <f t="shared" si="33"/>
        <v>ORD0751</v>
      </c>
      <c r="B752" s="3">
        <v>46135</v>
      </c>
      <c r="C752" t="s">
        <v>77</v>
      </c>
      <c r="D752" t="s">
        <v>52</v>
      </c>
      <c r="E752" t="s">
        <v>21</v>
      </c>
      <c r="F752" t="s">
        <v>17</v>
      </c>
      <c r="G752">
        <v>3</v>
      </c>
      <c r="H752" s="10">
        <f>_xlfn.XLOOKUP(E752,Table18[Product],Table18[Unit_Price])</f>
        <v>220</v>
      </c>
      <c r="I752" s="10">
        <f>_xlfn.XLOOKUP(E752,Table18[Product],Table18[Cost_Price])</f>
        <v>110</v>
      </c>
      <c r="J752" s="10">
        <v>31</v>
      </c>
      <c r="K752" s="10">
        <f t="shared" si="34"/>
        <v>629</v>
      </c>
      <c r="L752" s="10">
        <f t="shared" si="35"/>
        <v>299</v>
      </c>
      <c r="M752" t="s">
        <v>61</v>
      </c>
      <c r="N752" t="s">
        <v>50</v>
      </c>
      <c r="O752" t="s">
        <v>62</v>
      </c>
      <c r="P752">
        <v>4</v>
      </c>
    </row>
    <row r="753" spans="1:16" x14ac:dyDescent="0.25">
      <c r="A753" t="str">
        <f t="shared" si="33"/>
        <v>ORD0752</v>
      </c>
      <c r="B753" s="3">
        <v>46310</v>
      </c>
      <c r="C753" t="s">
        <v>88</v>
      </c>
      <c r="D753" t="s">
        <v>66</v>
      </c>
      <c r="E753" t="s">
        <v>41</v>
      </c>
      <c r="F753" t="s">
        <v>40</v>
      </c>
      <c r="G753">
        <v>1</v>
      </c>
      <c r="H753" s="10">
        <f>_xlfn.XLOOKUP(E753,Table18[Product],Table18[Unit_Price])</f>
        <v>100</v>
      </c>
      <c r="I753" s="10">
        <f>_xlfn.XLOOKUP(E753,Table18[Product],Table18[Cost_Price])</f>
        <v>50</v>
      </c>
      <c r="J753" s="10">
        <v>8</v>
      </c>
      <c r="K753" s="10">
        <f t="shared" si="34"/>
        <v>92</v>
      </c>
      <c r="L753" s="10">
        <f t="shared" si="35"/>
        <v>42</v>
      </c>
      <c r="M753" t="s">
        <v>61</v>
      </c>
      <c r="N753" t="s">
        <v>50</v>
      </c>
      <c r="O753" t="s">
        <v>67</v>
      </c>
      <c r="P753">
        <v>4</v>
      </c>
    </row>
    <row r="754" spans="1:16" x14ac:dyDescent="0.25">
      <c r="A754" t="str">
        <f t="shared" si="33"/>
        <v>ORD0753</v>
      </c>
      <c r="B754" s="3">
        <v>46336</v>
      </c>
      <c r="C754" t="s">
        <v>84</v>
      </c>
      <c r="D754" t="s">
        <v>52</v>
      </c>
      <c r="E754" t="s">
        <v>20</v>
      </c>
      <c r="F754" t="s">
        <v>17</v>
      </c>
      <c r="G754">
        <v>3</v>
      </c>
      <c r="H754" s="10">
        <f>_xlfn.XLOOKUP(E754,Table18[Product],Table18[Unit_Price])</f>
        <v>150</v>
      </c>
      <c r="I754" s="10">
        <f>_xlfn.XLOOKUP(E754,Table18[Product],Table18[Cost_Price])</f>
        <v>75</v>
      </c>
      <c r="J754" s="10">
        <v>15</v>
      </c>
      <c r="K754" s="10">
        <f t="shared" si="34"/>
        <v>435</v>
      </c>
      <c r="L754" s="10">
        <f t="shared" si="35"/>
        <v>210</v>
      </c>
      <c r="M754" t="s">
        <v>61</v>
      </c>
      <c r="N754" t="s">
        <v>54</v>
      </c>
      <c r="O754" t="s">
        <v>69</v>
      </c>
      <c r="P754">
        <v>5</v>
      </c>
    </row>
    <row r="755" spans="1:16" x14ac:dyDescent="0.25">
      <c r="A755" t="str">
        <f t="shared" si="33"/>
        <v>ORD0754</v>
      </c>
      <c r="B755" s="3">
        <v>46372</v>
      </c>
      <c r="C755" t="s">
        <v>88</v>
      </c>
      <c r="D755" t="s">
        <v>68</v>
      </c>
      <c r="E755" t="s">
        <v>16</v>
      </c>
      <c r="F755" t="s">
        <v>17</v>
      </c>
      <c r="G755">
        <v>2</v>
      </c>
      <c r="H755" s="10">
        <f>_xlfn.XLOOKUP(E755,Table18[Product],Table18[Unit_Price])</f>
        <v>120</v>
      </c>
      <c r="I755" s="10">
        <f>_xlfn.XLOOKUP(E755,Table18[Product],Table18[Cost_Price])</f>
        <v>60</v>
      </c>
      <c r="J755" s="10">
        <v>49</v>
      </c>
      <c r="K755" s="10">
        <f t="shared" si="34"/>
        <v>191</v>
      </c>
      <c r="L755" s="10">
        <f t="shared" si="35"/>
        <v>71</v>
      </c>
      <c r="M755" t="s">
        <v>49</v>
      </c>
      <c r="N755" t="s">
        <v>54</v>
      </c>
      <c r="O755" t="s">
        <v>62</v>
      </c>
      <c r="P755">
        <v>3</v>
      </c>
    </row>
    <row r="756" spans="1:16" x14ac:dyDescent="0.25">
      <c r="A756" t="str">
        <f t="shared" si="33"/>
        <v>ORD0755</v>
      </c>
      <c r="B756" s="3">
        <v>46155</v>
      </c>
      <c r="C756" t="s">
        <v>87</v>
      </c>
      <c r="D756" t="s">
        <v>66</v>
      </c>
      <c r="E756" t="s">
        <v>32</v>
      </c>
      <c r="F756" t="s">
        <v>31</v>
      </c>
      <c r="G756">
        <v>5</v>
      </c>
      <c r="H756" s="10">
        <f>_xlfn.XLOOKUP(E756,Table18[Product],Table18[Unit_Price])</f>
        <v>130</v>
      </c>
      <c r="I756" s="10">
        <f>_xlfn.XLOOKUP(E756,Table18[Product],Table18[Cost_Price])</f>
        <v>65</v>
      </c>
      <c r="J756" s="10">
        <v>6</v>
      </c>
      <c r="K756" s="10">
        <f t="shared" si="34"/>
        <v>644</v>
      </c>
      <c r="L756" s="10">
        <f t="shared" si="35"/>
        <v>319</v>
      </c>
      <c r="M756" t="s">
        <v>53</v>
      </c>
      <c r="N756" t="s">
        <v>58</v>
      </c>
      <c r="O756" t="s">
        <v>67</v>
      </c>
      <c r="P756">
        <v>4</v>
      </c>
    </row>
    <row r="757" spans="1:16" x14ac:dyDescent="0.25">
      <c r="A757" t="str">
        <f t="shared" si="33"/>
        <v>ORD0756</v>
      </c>
      <c r="B757" s="3">
        <v>46266</v>
      </c>
      <c r="C757" t="s">
        <v>83</v>
      </c>
      <c r="D757" t="s">
        <v>72</v>
      </c>
      <c r="E757" t="s">
        <v>24</v>
      </c>
      <c r="F757" t="s">
        <v>23</v>
      </c>
      <c r="G757">
        <v>3</v>
      </c>
      <c r="H757" s="10">
        <f>_xlfn.XLOOKUP(E757,Table18[Product],Table18[Unit_Price])</f>
        <v>210</v>
      </c>
      <c r="I757" s="10">
        <f>_xlfn.XLOOKUP(E757,Table18[Product],Table18[Cost_Price])</f>
        <v>105</v>
      </c>
      <c r="J757" s="10">
        <v>44</v>
      </c>
      <c r="K757" s="10">
        <f t="shared" si="34"/>
        <v>586</v>
      </c>
      <c r="L757" s="10">
        <f t="shared" si="35"/>
        <v>271</v>
      </c>
      <c r="M757" t="s">
        <v>57</v>
      </c>
      <c r="N757" t="s">
        <v>54</v>
      </c>
      <c r="O757" t="s">
        <v>55</v>
      </c>
      <c r="P757">
        <v>4</v>
      </c>
    </row>
    <row r="758" spans="1:16" x14ac:dyDescent="0.25">
      <c r="A758" t="str">
        <f t="shared" si="33"/>
        <v>ORD0757</v>
      </c>
      <c r="B758" s="3">
        <v>46207</v>
      </c>
      <c r="C758" t="s">
        <v>104</v>
      </c>
      <c r="D758" t="s">
        <v>56</v>
      </c>
      <c r="E758" t="s">
        <v>36</v>
      </c>
      <c r="F758" t="s">
        <v>35</v>
      </c>
      <c r="G758">
        <v>4</v>
      </c>
      <c r="H758" s="10">
        <f>_xlfn.XLOOKUP(E758,Table18[Product],Table18[Unit_Price])</f>
        <v>220</v>
      </c>
      <c r="I758" s="10">
        <f>_xlfn.XLOOKUP(E758,Table18[Product],Table18[Cost_Price])</f>
        <v>110</v>
      </c>
      <c r="J758" s="10">
        <v>40</v>
      </c>
      <c r="K758" s="10">
        <f t="shared" si="34"/>
        <v>840</v>
      </c>
      <c r="L758" s="10">
        <f t="shared" si="35"/>
        <v>400</v>
      </c>
      <c r="M758" t="s">
        <v>53</v>
      </c>
      <c r="N758" t="s">
        <v>58</v>
      </c>
      <c r="O758" t="s">
        <v>59</v>
      </c>
      <c r="P758">
        <v>3</v>
      </c>
    </row>
    <row r="759" spans="1:16" x14ac:dyDescent="0.25">
      <c r="A759" t="str">
        <f t="shared" si="33"/>
        <v>ORD0758</v>
      </c>
      <c r="B759" s="3">
        <v>46135</v>
      </c>
      <c r="C759" t="s">
        <v>76</v>
      </c>
      <c r="D759" t="s">
        <v>72</v>
      </c>
      <c r="E759" t="s">
        <v>18</v>
      </c>
      <c r="F759" t="s">
        <v>17</v>
      </c>
      <c r="G759">
        <v>5</v>
      </c>
      <c r="H759" s="10">
        <f>_xlfn.XLOOKUP(E759,Table18[Product],Table18[Unit_Price])</f>
        <v>180</v>
      </c>
      <c r="I759" s="10">
        <f>_xlfn.XLOOKUP(E759,Table18[Product],Table18[Cost_Price])</f>
        <v>90</v>
      </c>
      <c r="J759" s="10">
        <v>17</v>
      </c>
      <c r="K759" s="10">
        <f t="shared" si="34"/>
        <v>883</v>
      </c>
      <c r="L759" s="10">
        <f t="shared" si="35"/>
        <v>433</v>
      </c>
      <c r="M759" t="s">
        <v>64</v>
      </c>
      <c r="N759" t="s">
        <v>54</v>
      </c>
      <c r="O759" t="s">
        <v>69</v>
      </c>
      <c r="P759">
        <v>4</v>
      </c>
    </row>
    <row r="760" spans="1:16" x14ac:dyDescent="0.25">
      <c r="A760" t="str">
        <f t="shared" si="33"/>
        <v>ORD0759</v>
      </c>
      <c r="B760" s="3">
        <v>46373</v>
      </c>
      <c r="C760" t="s">
        <v>103</v>
      </c>
      <c r="D760" t="s">
        <v>66</v>
      </c>
      <c r="E760" t="s">
        <v>36</v>
      </c>
      <c r="F760" t="s">
        <v>35</v>
      </c>
      <c r="G760">
        <v>4</v>
      </c>
      <c r="H760" s="10">
        <f>_xlfn.XLOOKUP(E760,Table18[Product],Table18[Unit_Price])</f>
        <v>220</v>
      </c>
      <c r="I760" s="10">
        <f>_xlfn.XLOOKUP(E760,Table18[Product],Table18[Cost_Price])</f>
        <v>110</v>
      </c>
      <c r="J760" s="10">
        <v>10</v>
      </c>
      <c r="K760" s="10">
        <f t="shared" si="34"/>
        <v>870</v>
      </c>
      <c r="L760" s="10">
        <f t="shared" si="35"/>
        <v>430</v>
      </c>
      <c r="M760" t="s">
        <v>53</v>
      </c>
      <c r="N760" t="s">
        <v>58</v>
      </c>
      <c r="O760" t="s">
        <v>71</v>
      </c>
      <c r="P760">
        <v>5</v>
      </c>
    </row>
    <row r="761" spans="1:16" x14ac:dyDescent="0.25">
      <c r="A761" t="str">
        <f t="shared" si="33"/>
        <v>ORD0760</v>
      </c>
      <c r="B761" s="3">
        <v>46178</v>
      </c>
      <c r="C761" t="s">
        <v>98</v>
      </c>
      <c r="D761" t="s">
        <v>52</v>
      </c>
      <c r="E761" t="s">
        <v>30</v>
      </c>
      <c r="F761" t="s">
        <v>31</v>
      </c>
      <c r="G761">
        <v>2</v>
      </c>
      <c r="H761" s="10">
        <f>_xlfn.XLOOKUP(E761,Table18[Product],Table18[Unit_Price])</f>
        <v>110</v>
      </c>
      <c r="I761" s="10">
        <f>_xlfn.XLOOKUP(E761,Table18[Product],Table18[Cost_Price])</f>
        <v>55</v>
      </c>
      <c r="J761" s="10">
        <v>19</v>
      </c>
      <c r="K761" s="10">
        <f t="shared" si="34"/>
        <v>201</v>
      </c>
      <c r="L761" s="10">
        <f t="shared" si="35"/>
        <v>91</v>
      </c>
      <c r="M761" t="s">
        <v>49</v>
      </c>
      <c r="N761" t="s">
        <v>50</v>
      </c>
      <c r="O761" t="s">
        <v>67</v>
      </c>
      <c r="P761">
        <v>4</v>
      </c>
    </row>
    <row r="762" spans="1:16" x14ac:dyDescent="0.25">
      <c r="A762" t="str">
        <f t="shared" si="33"/>
        <v>ORD0761</v>
      </c>
      <c r="B762" s="3">
        <v>46080</v>
      </c>
      <c r="C762" t="s">
        <v>91</v>
      </c>
      <c r="D762" t="s">
        <v>66</v>
      </c>
      <c r="E762" t="s">
        <v>22</v>
      </c>
      <c r="F762" t="s">
        <v>23</v>
      </c>
      <c r="G762">
        <v>2</v>
      </c>
      <c r="H762" s="10">
        <f>_xlfn.XLOOKUP(E762,Table18[Product],Table18[Unit_Price])</f>
        <v>190</v>
      </c>
      <c r="I762" s="10">
        <f>_xlfn.XLOOKUP(E762,Table18[Product],Table18[Cost_Price])</f>
        <v>95</v>
      </c>
      <c r="J762" s="10">
        <v>15</v>
      </c>
      <c r="K762" s="10">
        <f t="shared" si="34"/>
        <v>365</v>
      </c>
      <c r="L762" s="10">
        <f t="shared" si="35"/>
        <v>175</v>
      </c>
      <c r="M762" t="s">
        <v>64</v>
      </c>
      <c r="N762" t="s">
        <v>50</v>
      </c>
      <c r="O762" t="s">
        <v>65</v>
      </c>
      <c r="P762">
        <v>3</v>
      </c>
    </row>
    <row r="763" spans="1:16" x14ac:dyDescent="0.25">
      <c r="A763" t="str">
        <f t="shared" si="33"/>
        <v>ORD0762</v>
      </c>
      <c r="B763" s="3">
        <v>46096</v>
      </c>
      <c r="C763" t="s">
        <v>92</v>
      </c>
      <c r="D763" t="s">
        <v>56</v>
      </c>
      <c r="E763" t="s">
        <v>33</v>
      </c>
      <c r="F763" t="s">
        <v>31</v>
      </c>
      <c r="G763">
        <v>2</v>
      </c>
      <c r="H763" s="10">
        <f>_xlfn.XLOOKUP(E763,Table18[Product],Table18[Unit_Price])</f>
        <v>150</v>
      </c>
      <c r="I763" s="10">
        <f>_xlfn.XLOOKUP(E763,Table18[Product],Table18[Cost_Price])</f>
        <v>75</v>
      </c>
      <c r="J763" s="10">
        <v>16</v>
      </c>
      <c r="K763" s="10">
        <f t="shared" si="34"/>
        <v>284</v>
      </c>
      <c r="L763" s="10">
        <f t="shared" si="35"/>
        <v>134</v>
      </c>
      <c r="M763" t="s">
        <v>61</v>
      </c>
      <c r="N763" t="s">
        <v>58</v>
      </c>
      <c r="O763" t="s">
        <v>62</v>
      </c>
      <c r="P763">
        <v>5</v>
      </c>
    </row>
    <row r="764" spans="1:16" x14ac:dyDescent="0.25">
      <c r="A764" t="str">
        <f t="shared" si="33"/>
        <v>ORD0763</v>
      </c>
      <c r="B764" s="3">
        <v>46379</v>
      </c>
      <c r="C764" t="s">
        <v>88</v>
      </c>
      <c r="D764" t="s">
        <v>63</v>
      </c>
      <c r="E764" t="s">
        <v>22</v>
      </c>
      <c r="F764" t="s">
        <v>23</v>
      </c>
      <c r="G764">
        <v>3</v>
      </c>
      <c r="H764" s="10">
        <f>_xlfn.XLOOKUP(E764,Table18[Product],Table18[Unit_Price])</f>
        <v>190</v>
      </c>
      <c r="I764" s="10">
        <f>_xlfn.XLOOKUP(E764,Table18[Product],Table18[Cost_Price])</f>
        <v>95</v>
      </c>
      <c r="J764" s="10">
        <v>17</v>
      </c>
      <c r="K764" s="10">
        <f t="shared" si="34"/>
        <v>553</v>
      </c>
      <c r="L764" s="10">
        <f t="shared" si="35"/>
        <v>268</v>
      </c>
      <c r="M764" t="s">
        <v>49</v>
      </c>
      <c r="N764" t="s">
        <v>50</v>
      </c>
      <c r="O764" t="s">
        <v>59</v>
      </c>
      <c r="P764">
        <v>4</v>
      </c>
    </row>
    <row r="765" spans="1:16" x14ac:dyDescent="0.25">
      <c r="A765" t="str">
        <f t="shared" si="33"/>
        <v>ORD0764</v>
      </c>
      <c r="B765" s="3">
        <v>46108</v>
      </c>
      <c r="C765" t="s">
        <v>92</v>
      </c>
      <c r="D765" t="s">
        <v>63</v>
      </c>
      <c r="E765" t="s">
        <v>22</v>
      </c>
      <c r="F765" t="s">
        <v>23</v>
      </c>
      <c r="G765">
        <v>4</v>
      </c>
      <c r="H765" s="10">
        <f>_xlfn.XLOOKUP(E765,Table18[Product],Table18[Unit_Price])</f>
        <v>190</v>
      </c>
      <c r="I765" s="10">
        <f>_xlfn.XLOOKUP(E765,Table18[Product],Table18[Cost_Price])</f>
        <v>95</v>
      </c>
      <c r="J765" s="10">
        <v>24</v>
      </c>
      <c r="K765" s="10">
        <f t="shared" si="34"/>
        <v>736</v>
      </c>
      <c r="L765" s="10">
        <f t="shared" si="35"/>
        <v>356</v>
      </c>
      <c r="M765" t="s">
        <v>57</v>
      </c>
      <c r="N765" t="s">
        <v>58</v>
      </c>
      <c r="O765" t="s">
        <v>73</v>
      </c>
      <c r="P765">
        <v>3</v>
      </c>
    </row>
    <row r="766" spans="1:16" x14ac:dyDescent="0.25">
      <c r="A766" t="str">
        <f t="shared" si="33"/>
        <v>ORD0765</v>
      </c>
      <c r="B766" s="3">
        <v>46282</v>
      </c>
      <c r="C766" t="s">
        <v>87</v>
      </c>
      <c r="D766" t="s">
        <v>63</v>
      </c>
      <c r="E766" t="s">
        <v>20</v>
      </c>
      <c r="F766" t="s">
        <v>17</v>
      </c>
      <c r="G766">
        <v>4</v>
      </c>
      <c r="H766" s="10">
        <f>_xlfn.XLOOKUP(E766,Table18[Product],Table18[Unit_Price])</f>
        <v>150</v>
      </c>
      <c r="I766" s="10">
        <f>_xlfn.XLOOKUP(E766,Table18[Product],Table18[Cost_Price])</f>
        <v>75</v>
      </c>
      <c r="J766" s="10">
        <v>0</v>
      </c>
      <c r="K766" s="10">
        <f t="shared" si="34"/>
        <v>600</v>
      </c>
      <c r="L766" s="10">
        <f t="shared" si="35"/>
        <v>300</v>
      </c>
      <c r="M766" t="s">
        <v>49</v>
      </c>
      <c r="N766" t="s">
        <v>58</v>
      </c>
      <c r="O766" t="s">
        <v>51</v>
      </c>
      <c r="P766">
        <v>4</v>
      </c>
    </row>
    <row r="767" spans="1:16" x14ac:dyDescent="0.25">
      <c r="A767" t="str">
        <f t="shared" si="33"/>
        <v>ORD0766</v>
      </c>
      <c r="B767" s="3">
        <v>46105</v>
      </c>
      <c r="C767" t="s">
        <v>78</v>
      </c>
      <c r="D767" t="s">
        <v>60</v>
      </c>
      <c r="E767" t="s">
        <v>16</v>
      </c>
      <c r="F767" t="s">
        <v>17</v>
      </c>
      <c r="G767">
        <v>1</v>
      </c>
      <c r="H767" s="10">
        <f>_xlfn.XLOOKUP(E767,Table18[Product],Table18[Unit_Price])</f>
        <v>120</v>
      </c>
      <c r="I767" s="10">
        <f>_xlfn.XLOOKUP(E767,Table18[Product],Table18[Cost_Price])</f>
        <v>60</v>
      </c>
      <c r="J767" s="10">
        <v>2</v>
      </c>
      <c r="K767" s="10">
        <f t="shared" si="34"/>
        <v>118</v>
      </c>
      <c r="L767" s="10">
        <f t="shared" si="35"/>
        <v>58</v>
      </c>
      <c r="M767" t="s">
        <v>64</v>
      </c>
      <c r="N767" t="s">
        <v>50</v>
      </c>
      <c r="O767" t="s">
        <v>62</v>
      </c>
      <c r="P767">
        <v>5</v>
      </c>
    </row>
    <row r="768" spans="1:16" x14ac:dyDescent="0.25">
      <c r="A768" t="str">
        <f t="shared" si="33"/>
        <v>ORD0767</v>
      </c>
      <c r="B768" s="3">
        <v>46024</v>
      </c>
      <c r="C768" t="s">
        <v>77</v>
      </c>
      <c r="D768" t="s">
        <v>66</v>
      </c>
      <c r="E768" t="s">
        <v>30</v>
      </c>
      <c r="F768" t="s">
        <v>31</v>
      </c>
      <c r="G768">
        <v>5</v>
      </c>
      <c r="H768" s="10">
        <f>_xlfn.XLOOKUP(E768,Table18[Product],Table18[Unit_Price])</f>
        <v>110</v>
      </c>
      <c r="I768" s="10">
        <f>_xlfn.XLOOKUP(E768,Table18[Product],Table18[Cost_Price])</f>
        <v>55</v>
      </c>
      <c r="J768" s="10">
        <v>4</v>
      </c>
      <c r="K768" s="10">
        <f t="shared" si="34"/>
        <v>546</v>
      </c>
      <c r="L768" s="10">
        <f t="shared" si="35"/>
        <v>271</v>
      </c>
      <c r="M768" t="s">
        <v>64</v>
      </c>
      <c r="N768" t="s">
        <v>54</v>
      </c>
      <c r="O768" t="s">
        <v>55</v>
      </c>
      <c r="P768">
        <v>4</v>
      </c>
    </row>
    <row r="769" spans="1:16" x14ac:dyDescent="0.25">
      <c r="A769" t="str">
        <f t="shared" si="33"/>
        <v>ORD0768</v>
      </c>
      <c r="B769" s="3">
        <v>46343</v>
      </c>
      <c r="C769" t="s">
        <v>93</v>
      </c>
      <c r="D769" t="s">
        <v>74</v>
      </c>
      <c r="E769" t="s">
        <v>27</v>
      </c>
      <c r="F769" t="s">
        <v>28</v>
      </c>
      <c r="G769">
        <v>2</v>
      </c>
      <c r="H769" s="10">
        <f>_xlfn.XLOOKUP(E769,Table18[Product],Table18[Unit_Price])</f>
        <v>140</v>
      </c>
      <c r="I769" s="10">
        <f>_xlfn.XLOOKUP(E769,Table18[Product],Table18[Cost_Price])</f>
        <v>70</v>
      </c>
      <c r="J769" s="10">
        <v>0</v>
      </c>
      <c r="K769" s="10">
        <f t="shared" si="34"/>
        <v>280</v>
      </c>
      <c r="L769" s="10">
        <f t="shared" si="35"/>
        <v>140</v>
      </c>
      <c r="M769" t="s">
        <v>64</v>
      </c>
      <c r="N769" t="s">
        <v>50</v>
      </c>
      <c r="O769" t="s">
        <v>71</v>
      </c>
      <c r="P769">
        <v>3</v>
      </c>
    </row>
    <row r="770" spans="1:16" x14ac:dyDescent="0.25">
      <c r="A770" t="str">
        <f t="shared" si="33"/>
        <v>ORD0769</v>
      </c>
      <c r="B770" s="3">
        <v>46242</v>
      </c>
      <c r="C770" t="s">
        <v>103</v>
      </c>
      <c r="D770" t="s">
        <v>56</v>
      </c>
      <c r="E770" t="s">
        <v>29</v>
      </c>
      <c r="F770" t="s">
        <v>28</v>
      </c>
      <c r="G770">
        <v>4</v>
      </c>
      <c r="H770" s="10">
        <f>_xlfn.XLOOKUP(E770,Table18[Product],Table18[Unit_Price])</f>
        <v>120</v>
      </c>
      <c r="I770" s="10">
        <f>_xlfn.XLOOKUP(E770,Table18[Product],Table18[Cost_Price])</f>
        <v>60</v>
      </c>
      <c r="J770" s="10">
        <v>15</v>
      </c>
      <c r="K770" s="10">
        <f t="shared" si="34"/>
        <v>465</v>
      </c>
      <c r="L770" s="10">
        <f t="shared" si="35"/>
        <v>225</v>
      </c>
      <c r="M770" t="s">
        <v>61</v>
      </c>
      <c r="N770" t="s">
        <v>58</v>
      </c>
      <c r="O770" t="s">
        <v>51</v>
      </c>
      <c r="P770">
        <v>3</v>
      </c>
    </row>
    <row r="771" spans="1:16" x14ac:dyDescent="0.25">
      <c r="A771" t="str">
        <f t="shared" ref="A771:A834" si="36">"ORD"&amp;TEXT(ROW()-1,"0000")</f>
        <v>ORD0770</v>
      </c>
      <c r="B771" s="3">
        <v>46371</v>
      </c>
      <c r="C771" t="s">
        <v>99</v>
      </c>
      <c r="D771" t="s">
        <v>48</v>
      </c>
      <c r="E771" t="s">
        <v>27</v>
      </c>
      <c r="F771" t="s">
        <v>28</v>
      </c>
      <c r="G771">
        <v>5</v>
      </c>
      <c r="H771" s="10">
        <f>_xlfn.XLOOKUP(E771,Table18[Product],Table18[Unit_Price])</f>
        <v>140</v>
      </c>
      <c r="I771" s="10">
        <f>_xlfn.XLOOKUP(E771,Table18[Product],Table18[Cost_Price])</f>
        <v>70</v>
      </c>
      <c r="J771" s="10">
        <v>42</v>
      </c>
      <c r="K771" s="10">
        <f t="shared" ref="K771:K834" si="37">(G771*H771)-J771</f>
        <v>658</v>
      </c>
      <c r="L771" s="10">
        <f t="shared" ref="L771:L834" si="38">K771-(G771*I771)</f>
        <v>308</v>
      </c>
      <c r="M771" t="s">
        <v>61</v>
      </c>
      <c r="N771" t="s">
        <v>58</v>
      </c>
      <c r="O771" t="s">
        <v>55</v>
      </c>
      <c r="P771">
        <v>3</v>
      </c>
    </row>
    <row r="772" spans="1:16" x14ac:dyDescent="0.25">
      <c r="A772" t="str">
        <f t="shared" si="36"/>
        <v>ORD0771</v>
      </c>
      <c r="B772" s="3">
        <v>46212</v>
      </c>
      <c r="C772" t="s">
        <v>97</v>
      </c>
      <c r="D772" t="s">
        <v>48</v>
      </c>
      <c r="E772" t="s">
        <v>33</v>
      </c>
      <c r="F772" t="s">
        <v>31</v>
      </c>
      <c r="G772">
        <v>5</v>
      </c>
      <c r="H772" s="10">
        <f>_xlfn.XLOOKUP(E772,Table18[Product],Table18[Unit_Price])</f>
        <v>150</v>
      </c>
      <c r="I772" s="10">
        <f>_xlfn.XLOOKUP(E772,Table18[Product],Table18[Cost_Price])</f>
        <v>75</v>
      </c>
      <c r="J772" s="10">
        <v>17</v>
      </c>
      <c r="K772" s="10">
        <f t="shared" si="37"/>
        <v>733</v>
      </c>
      <c r="L772" s="10">
        <f t="shared" si="38"/>
        <v>358</v>
      </c>
      <c r="M772" t="s">
        <v>57</v>
      </c>
      <c r="N772" t="s">
        <v>58</v>
      </c>
      <c r="O772" t="s">
        <v>73</v>
      </c>
      <c r="P772">
        <v>5</v>
      </c>
    </row>
    <row r="773" spans="1:16" x14ac:dyDescent="0.25">
      <c r="A773" t="str">
        <f t="shared" si="36"/>
        <v>ORD0772</v>
      </c>
      <c r="B773" s="3">
        <v>46144</v>
      </c>
      <c r="C773" t="s">
        <v>77</v>
      </c>
      <c r="D773" t="s">
        <v>68</v>
      </c>
      <c r="E773" t="s">
        <v>34</v>
      </c>
      <c r="F773" t="s">
        <v>35</v>
      </c>
      <c r="G773">
        <v>1</v>
      </c>
      <c r="H773" s="10">
        <f>_xlfn.XLOOKUP(E773,Table18[Product],Table18[Unit_Price])</f>
        <v>180</v>
      </c>
      <c r="I773" s="10">
        <f>_xlfn.XLOOKUP(E773,Table18[Product],Table18[Cost_Price])</f>
        <v>90</v>
      </c>
      <c r="J773" s="10">
        <v>11</v>
      </c>
      <c r="K773" s="10">
        <f t="shared" si="37"/>
        <v>169</v>
      </c>
      <c r="L773" s="10">
        <f t="shared" si="38"/>
        <v>79</v>
      </c>
      <c r="M773" t="s">
        <v>57</v>
      </c>
      <c r="N773" t="s">
        <v>50</v>
      </c>
      <c r="O773" t="s">
        <v>73</v>
      </c>
      <c r="P773">
        <v>3</v>
      </c>
    </row>
    <row r="774" spans="1:16" x14ac:dyDescent="0.25">
      <c r="A774" t="str">
        <f t="shared" si="36"/>
        <v>ORD0773</v>
      </c>
      <c r="B774" s="3">
        <v>46287</v>
      </c>
      <c r="C774" t="s">
        <v>96</v>
      </c>
      <c r="D774" t="s">
        <v>60</v>
      </c>
      <c r="E774" t="s">
        <v>25</v>
      </c>
      <c r="F774" t="s">
        <v>26</v>
      </c>
      <c r="G774">
        <v>2</v>
      </c>
      <c r="H774" s="10">
        <f>_xlfn.XLOOKUP(E774,Table18[Product],Table18[Unit_Price])</f>
        <v>170</v>
      </c>
      <c r="I774" s="10">
        <f>_xlfn.XLOOKUP(E774,Table18[Product],Table18[Cost_Price])</f>
        <v>85</v>
      </c>
      <c r="J774" s="10">
        <v>8</v>
      </c>
      <c r="K774" s="10">
        <f t="shared" si="37"/>
        <v>332</v>
      </c>
      <c r="L774" s="10">
        <f t="shared" si="38"/>
        <v>162</v>
      </c>
      <c r="M774" t="s">
        <v>61</v>
      </c>
      <c r="N774" t="s">
        <v>50</v>
      </c>
      <c r="O774" t="s">
        <v>73</v>
      </c>
      <c r="P774">
        <v>5</v>
      </c>
    </row>
    <row r="775" spans="1:16" x14ac:dyDescent="0.25">
      <c r="A775" t="str">
        <f t="shared" si="36"/>
        <v>ORD0774</v>
      </c>
      <c r="B775" s="3">
        <v>46058</v>
      </c>
      <c r="C775" t="s">
        <v>89</v>
      </c>
      <c r="D775" t="s">
        <v>66</v>
      </c>
      <c r="E775" t="s">
        <v>19</v>
      </c>
      <c r="F775" t="s">
        <v>17</v>
      </c>
      <c r="G775">
        <v>1</v>
      </c>
      <c r="H775" s="10">
        <f>_xlfn.XLOOKUP(E775,Table18[Product],Table18[Unit_Price])</f>
        <v>200</v>
      </c>
      <c r="I775" s="10">
        <f>_xlfn.XLOOKUP(E775,Table18[Product],Table18[Cost_Price])</f>
        <v>100</v>
      </c>
      <c r="J775" s="10">
        <v>19</v>
      </c>
      <c r="K775" s="10">
        <f t="shared" si="37"/>
        <v>181</v>
      </c>
      <c r="L775" s="10">
        <f t="shared" si="38"/>
        <v>81</v>
      </c>
      <c r="M775" t="s">
        <v>57</v>
      </c>
      <c r="N775" t="s">
        <v>50</v>
      </c>
      <c r="O775" t="s">
        <v>65</v>
      </c>
      <c r="P775">
        <v>3</v>
      </c>
    </row>
    <row r="776" spans="1:16" x14ac:dyDescent="0.25">
      <c r="A776" t="str">
        <f t="shared" si="36"/>
        <v>ORD0775</v>
      </c>
      <c r="B776" s="3">
        <v>46212</v>
      </c>
      <c r="C776" t="s">
        <v>93</v>
      </c>
      <c r="D776" t="s">
        <v>74</v>
      </c>
      <c r="E776" t="s">
        <v>22</v>
      </c>
      <c r="F776" t="s">
        <v>23</v>
      </c>
      <c r="G776">
        <v>2</v>
      </c>
      <c r="H776" s="10">
        <f>_xlfn.XLOOKUP(E776,Table18[Product],Table18[Unit_Price])</f>
        <v>190</v>
      </c>
      <c r="I776" s="10">
        <f>_xlfn.XLOOKUP(E776,Table18[Product],Table18[Cost_Price])</f>
        <v>95</v>
      </c>
      <c r="J776" s="10">
        <v>6</v>
      </c>
      <c r="K776" s="10">
        <f t="shared" si="37"/>
        <v>374</v>
      </c>
      <c r="L776" s="10">
        <f t="shared" si="38"/>
        <v>184</v>
      </c>
      <c r="M776" t="s">
        <v>64</v>
      </c>
      <c r="N776" t="s">
        <v>54</v>
      </c>
      <c r="O776" t="s">
        <v>71</v>
      </c>
      <c r="P776">
        <v>4</v>
      </c>
    </row>
    <row r="777" spans="1:16" x14ac:dyDescent="0.25">
      <c r="A777" t="str">
        <f t="shared" si="36"/>
        <v>ORD0776</v>
      </c>
      <c r="B777" s="3">
        <v>46229</v>
      </c>
      <c r="C777" t="s">
        <v>104</v>
      </c>
      <c r="D777" t="s">
        <v>52</v>
      </c>
      <c r="E777" t="s">
        <v>16</v>
      </c>
      <c r="F777" t="s">
        <v>17</v>
      </c>
      <c r="G777">
        <v>5</v>
      </c>
      <c r="H777" s="10">
        <f>_xlfn.XLOOKUP(E777,Table18[Product],Table18[Unit_Price])</f>
        <v>120</v>
      </c>
      <c r="I777" s="10">
        <f>_xlfn.XLOOKUP(E777,Table18[Product],Table18[Cost_Price])</f>
        <v>60</v>
      </c>
      <c r="J777" s="10">
        <v>43</v>
      </c>
      <c r="K777" s="10">
        <f t="shared" si="37"/>
        <v>557</v>
      </c>
      <c r="L777" s="10">
        <f t="shared" si="38"/>
        <v>257</v>
      </c>
      <c r="M777" t="s">
        <v>61</v>
      </c>
      <c r="N777" t="s">
        <v>50</v>
      </c>
      <c r="O777" t="s">
        <v>62</v>
      </c>
      <c r="P777">
        <v>5</v>
      </c>
    </row>
    <row r="778" spans="1:16" x14ac:dyDescent="0.25">
      <c r="A778" t="str">
        <f t="shared" si="36"/>
        <v>ORD0777</v>
      </c>
      <c r="B778" s="3">
        <v>46038</v>
      </c>
      <c r="C778" t="s">
        <v>87</v>
      </c>
      <c r="D778" t="s">
        <v>74</v>
      </c>
      <c r="E778" t="s">
        <v>25</v>
      </c>
      <c r="F778" t="s">
        <v>26</v>
      </c>
      <c r="G778">
        <v>4</v>
      </c>
      <c r="H778" s="10">
        <f>_xlfn.XLOOKUP(E778,Table18[Product],Table18[Unit_Price])</f>
        <v>170</v>
      </c>
      <c r="I778" s="10">
        <f>_xlfn.XLOOKUP(E778,Table18[Product],Table18[Cost_Price])</f>
        <v>85</v>
      </c>
      <c r="J778" s="10">
        <v>40</v>
      </c>
      <c r="K778" s="10">
        <f t="shared" si="37"/>
        <v>640</v>
      </c>
      <c r="L778" s="10">
        <f t="shared" si="38"/>
        <v>300</v>
      </c>
      <c r="M778" t="s">
        <v>64</v>
      </c>
      <c r="N778" t="s">
        <v>54</v>
      </c>
      <c r="O778" t="s">
        <v>55</v>
      </c>
      <c r="P778">
        <v>3</v>
      </c>
    </row>
    <row r="779" spans="1:16" x14ac:dyDescent="0.25">
      <c r="A779" t="str">
        <f t="shared" si="36"/>
        <v>ORD0778</v>
      </c>
      <c r="B779" s="3">
        <v>46279</v>
      </c>
      <c r="C779" t="s">
        <v>77</v>
      </c>
      <c r="D779" t="s">
        <v>70</v>
      </c>
      <c r="E779" t="s">
        <v>30</v>
      </c>
      <c r="F779" t="s">
        <v>31</v>
      </c>
      <c r="G779">
        <v>1</v>
      </c>
      <c r="H779" s="10">
        <f>_xlfn.XLOOKUP(E779,Table18[Product],Table18[Unit_Price])</f>
        <v>110</v>
      </c>
      <c r="I779" s="10">
        <f>_xlfn.XLOOKUP(E779,Table18[Product],Table18[Cost_Price])</f>
        <v>55</v>
      </c>
      <c r="J779" s="10">
        <v>34</v>
      </c>
      <c r="K779" s="10">
        <f t="shared" si="37"/>
        <v>76</v>
      </c>
      <c r="L779" s="10">
        <f t="shared" si="38"/>
        <v>21</v>
      </c>
      <c r="M779" t="s">
        <v>64</v>
      </c>
      <c r="N779" t="s">
        <v>54</v>
      </c>
      <c r="O779" t="s">
        <v>73</v>
      </c>
      <c r="P779">
        <v>3</v>
      </c>
    </row>
    <row r="780" spans="1:16" x14ac:dyDescent="0.25">
      <c r="A780" t="str">
        <f t="shared" si="36"/>
        <v>ORD0779</v>
      </c>
      <c r="B780" s="3">
        <v>46247</v>
      </c>
      <c r="C780" t="s">
        <v>91</v>
      </c>
      <c r="D780" t="s">
        <v>68</v>
      </c>
      <c r="E780" t="s">
        <v>32</v>
      </c>
      <c r="F780" t="s">
        <v>31</v>
      </c>
      <c r="G780">
        <v>4</v>
      </c>
      <c r="H780" s="10">
        <f>_xlfn.XLOOKUP(E780,Table18[Product],Table18[Unit_Price])</f>
        <v>130</v>
      </c>
      <c r="I780" s="10">
        <f>_xlfn.XLOOKUP(E780,Table18[Product],Table18[Cost_Price])</f>
        <v>65</v>
      </c>
      <c r="J780" s="10">
        <v>24</v>
      </c>
      <c r="K780" s="10">
        <f t="shared" si="37"/>
        <v>496</v>
      </c>
      <c r="L780" s="10">
        <f t="shared" si="38"/>
        <v>236</v>
      </c>
      <c r="M780" t="s">
        <v>64</v>
      </c>
      <c r="N780" t="s">
        <v>50</v>
      </c>
      <c r="O780" t="s">
        <v>71</v>
      </c>
      <c r="P780">
        <v>3</v>
      </c>
    </row>
    <row r="781" spans="1:16" x14ac:dyDescent="0.25">
      <c r="A781" t="str">
        <f t="shared" si="36"/>
        <v>ORD0780</v>
      </c>
      <c r="B781" s="3">
        <v>46238</v>
      </c>
      <c r="C781" t="s">
        <v>104</v>
      </c>
      <c r="D781" t="s">
        <v>52</v>
      </c>
      <c r="E781" t="s">
        <v>29</v>
      </c>
      <c r="F781" t="s">
        <v>28</v>
      </c>
      <c r="G781">
        <v>5</v>
      </c>
      <c r="H781" s="10">
        <f>_xlfn.XLOOKUP(E781,Table18[Product],Table18[Unit_Price])</f>
        <v>120</v>
      </c>
      <c r="I781" s="10">
        <f>_xlfn.XLOOKUP(E781,Table18[Product],Table18[Cost_Price])</f>
        <v>60</v>
      </c>
      <c r="J781" s="10">
        <v>19</v>
      </c>
      <c r="K781" s="10">
        <f t="shared" si="37"/>
        <v>581</v>
      </c>
      <c r="L781" s="10">
        <f t="shared" si="38"/>
        <v>281</v>
      </c>
      <c r="M781" t="s">
        <v>53</v>
      </c>
      <c r="N781" t="s">
        <v>54</v>
      </c>
      <c r="O781" t="s">
        <v>55</v>
      </c>
      <c r="P781">
        <v>3</v>
      </c>
    </row>
    <row r="782" spans="1:16" x14ac:dyDescent="0.25">
      <c r="A782" t="str">
        <f t="shared" si="36"/>
        <v>ORD0781</v>
      </c>
      <c r="B782" s="3">
        <v>46050</v>
      </c>
      <c r="C782" t="s">
        <v>101</v>
      </c>
      <c r="D782" t="s">
        <v>52</v>
      </c>
      <c r="E782" t="s">
        <v>21</v>
      </c>
      <c r="F782" t="s">
        <v>17</v>
      </c>
      <c r="G782">
        <v>3</v>
      </c>
      <c r="H782" s="10">
        <f>_xlfn.XLOOKUP(E782,Table18[Product],Table18[Unit_Price])</f>
        <v>220</v>
      </c>
      <c r="I782" s="10">
        <f>_xlfn.XLOOKUP(E782,Table18[Product],Table18[Cost_Price])</f>
        <v>110</v>
      </c>
      <c r="J782" s="10">
        <v>33</v>
      </c>
      <c r="K782" s="10">
        <f t="shared" si="37"/>
        <v>627</v>
      </c>
      <c r="L782" s="10">
        <f t="shared" si="38"/>
        <v>297</v>
      </c>
      <c r="M782" t="s">
        <v>53</v>
      </c>
      <c r="N782" t="s">
        <v>58</v>
      </c>
      <c r="O782" t="s">
        <v>51</v>
      </c>
      <c r="P782">
        <v>3</v>
      </c>
    </row>
    <row r="783" spans="1:16" x14ac:dyDescent="0.25">
      <c r="A783" t="str">
        <f t="shared" si="36"/>
        <v>ORD0782</v>
      </c>
      <c r="B783" s="3">
        <v>46175</v>
      </c>
      <c r="C783" t="s">
        <v>89</v>
      </c>
      <c r="D783" t="s">
        <v>74</v>
      </c>
      <c r="E783" t="s">
        <v>21</v>
      </c>
      <c r="F783" t="s">
        <v>17</v>
      </c>
      <c r="G783">
        <v>1</v>
      </c>
      <c r="H783" s="10">
        <f>_xlfn.XLOOKUP(E783,Table18[Product],Table18[Unit_Price])</f>
        <v>220</v>
      </c>
      <c r="I783" s="10">
        <f>_xlfn.XLOOKUP(E783,Table18[Product],Table18[Cost_Price])</f>
        <v>110</v>
      </c>
      <c r="J783" s="10">
        <v>44</v>
      </c>
      <c r="K783" s="10">
        <f t="shared" si="37"/>
        <v>176</v>
      </c>
      <c r="L783" s="10">
        <f t="shared" si="38"/>
        <v>66</v>
      </c>
      <c r="M783" t="s">
        <v>64</v>
      </c>
      <c r="N783" t="s">
        <v>54</v>
      </c>
      <c r="O783" t="s">
        <v>65</v>
      </c>
      <c r="P783">
        <v>4</v>
      </c>
    </row>
    <row r="784" spans="1:16" x14ac:dyDescent="0.25">
      <c r="A784" t="str">
        <f t="shared" si="36"/>
        <v>ORD0783</v>
      </c>
      <c r="B784" s="3">
        <v>46296</v>
      </c>
      <c r="C784" t="s">
        <v>86</v>
      </c>
      <c r="D784" t="s">
        <v>68</v>
      </c>
      <c r="E784" t="s">
        <v>39</v>
      </c>
      <c r="F784" t="s">
        <v>40</v>
      </c>
      <c r="G784">
        <v>1</v>
      </c>
      <c r="H784" s="10">
        <f>_xlfn.XLOOKUP(E784,Table18[Product],Table18[Unit_Price])</f>
        <v>240</v>
      </c>
      <c r="I784" s="10">
        <f>_xlfn.XLOOKUP(E784,Table18[Product],Table18[Cost_Price])</f>
        <v>120</v>
      </c>
      <c r="J784" s="10">
        <v>20</v>
      </c>
      <c r="K784" s="10">
        <f t="shared" si="37"/>
        <v>220</v>
      </c>
      <c r="L784" s="10">
        <f t="shared" si="38"/>
        <v>100</v>
      </c>
      <c r="M784" t="s">
        <v>57</v>
      </c>
      <c r="N784" t="s">
        <v>54</v>
      </c>
      <c r="O784" t="s">
        <v>51</v>
      </c>
      <c r="P784">
        <v>5</v>
      </c>
    </row>
    <row r="785" spans="1:16" x14ac:dyDescent="0.25">
      <c r="A785" t="str">
        <f t="shared" si="36"/>
        <v>ORD0784</v>
      </c>
      <c r="B785" s="3">
        <v>46378</v>
      </c>
      <c r="C785" t="s">
        <v>96</v>
      </c>
      <c r="D785" t="s">
        <v>56</v>
      </c>
      <c r="E785" t="s">
        <v>37</v>
      </c>
      <c r="F785" t="s">
        <v>35</v>
      </c>
      <c r="G785">
        <v>1</v>
      </c>
      <c r="H785" s="10">
        <f>_xlfn.XLOOKUP(E785,Table18[Product],Table18[Unit_Price])</f>
        <v>160</v>
      </c>
      <c r="I785" s="10">
        <f>_xlfn.XLOOKUP(E785,Table18[Product],Table18[Cost_Price])</f>
        <v>80</v>
      </c>
      <c r="J785" s="10">
        <v>37</v>
      </c>
      <c r="K785" s="10">
        <f t="shared" si="37"/>
        <v>123</v>
      </c>
      <c r="L785" s="10">
        <f t="shared" si="38"/>
        <v>43</v>
      </c>
      <c r="M785" t="s">
        <v>57</v>
      </c>
      <c r="N785" t="s">
        <v>58</v>
      </c>
      <c r="O785" t="s">
        <v>55</v>
      </c>
      <c r="P785">
        <v>3</v>
      </c>
    </row>
    <row r="786" spans="1:16" x14ac:dyDescent="0.25">
      <c r="A786" t="str">
        <f t="shared" si="36"/>
        <v>ORD0785</v>
      </c>
      <c r="B786" s="3">
        <v>46143</v>
      </c>
      <c r="C786" t="s">
        <v>94</v>
      </c>
      <c r="D786" t="s">
        <v>52</v>
      </c>
      <c r="E786" t="s">
        <v>39</v>
      </c>
      <c r="F786" t="s">
        <v>40</v>
      </c>
      <c r="G786">
        <v>4</v>
      </c>
      <c r="H786" s="10">
        <f>_xlfn.XLOOKUP(E786,Table18[Product],Table18[Unit_Price])</f>
        <v>240</v>
      </c>
      <c r="I786" s="10">
        <f>_xlfn.XLOOKUP(E786,Table18[Product],Table18[Cost_Price])</f>
        <v>120</v>
      </c>
      <c r="J786" s="10">
        <v>11</v>
      </c>
      <c r="K786" s="10">
        <f t="shared" si="37"/>
        <v>949</v>
      </c>
      <c r="L786" s="10">
        <f t="shared" si="38"/>
        <v>469</v>
      </c>
      <c r="M786" t="s">
        <v>49</v>
      </c>
      <c r="N786" t="s">
        <v>50</v>
      </c>
      <c r="O786" t="s">
        <v>65</v>
      </c>
      <c r="P786">
        <v>4</v>
      </c>
    </row>
    <row r="787" spans="1:16" x14ac:dyDescent="0.25">
      <c r="A787" t="str">
        <f t="shared" si="36"/>
        <v>ORD0786</v>
      </c>
      <c r="B787" s="3">
        <v>46375</v>
      </c>
      <c r="C787" t="s">
        <v>81</v>
      </c>
      <c r="D787" t="s">
        <v>63</v>
      </c>
      <c r="E787" t="s">
        <v>18</v>
      </c>
      <c r="F787" t="s">
        <v>17</v>
      </c>
      <c r="G787">
        <v>4</v>
      </c>
      <c r="H787" s="10">
        <f>_xlfn.XLOOKUP(E787,Table18[Product],Table18[Unit_Price])</f>
        <v>180</v>
      </c>
      <c r="I787" s="10">
        <f>_xlfn.XLOOKUP(E787,Table18[Product],Table18[Cost_Price])</f>
        <v>90</v>
      </c>
      <c r="J787" s="10">
        <v>13</v>
      </c>
      <c r="K787" s="10">
        <f t="shared" si="37"/>
        <v>707</v>
      </c>
      <c r="L787" s="10">
        <f t="shared" si="38"/>
        <v>347</v>
      </c>
      <c r="M787" t="s">
        <v>53</v>
      </c>
      <c r="N787" t="s">
        <v>58</v>
      </c>
      <c r="O787" t="s">
        <v>67</v>
      </c>
      <c r="P787">
        <v>5</v>
      </c>
    </row>
    <row r="788" spans="1:16" x14ac:dyDescent="0.25">
      <c r="A788" t="str">
        <f t="shared" si="36"/>
        <v>ORD0787</v>
      </c>
      <c r="B788" s="3">
        <v>46372</v>
      </c>
      <c r="C788" t="s">
        <v>80</v>
      </c>
      <c r="D788" t="s">
        <v>70</v>
      </c>
      <c r="E788" t="s">
        <v>36</v>
      </c>
      <c r="F788" t="s">
        <v>35</v>
      </c>
      <c r="G788">
        <v>3</v>
      </c>
      <c r="H788" s="10">
        <f>_xlfn.XLOOKUP(E788,Table18[Product],Table18[Unit_Price])</f>
        <v>220</v>
      </c>
      <c r="I788" s="10">
        <f>_xlfn.XLOOKUP(E788,Table18[Product],Table18[Cost_Price])</f>
        <v>110</v>
      </c>
      <c r="J788" s="10">
        <v>32</v>
      </c>
      <c r="K788" s="10">
        <f t="shared" si="37"/>
        <v>628</v>
      </c>
      <c r="L788" s="10">
        <f t="shared" si="38"/>
        <v>298</v>
      </c>
      <c r="M788" t="s">
        <v>57</v>
      </c>
      <c r="N788" t="s">
        <v>50</v>
      </c>
      <c r="O788" t="s">
        <v>67</v>
      </c>
      <c r="P788">
        <v>3</v>
      </c>
    </row>
    <row r="789" spans="1:16" x14ac:dyDescent="0.25">
      <c r="A789" t="str">
        <f t="shared" si="36"/>
        <v>ORD0788</v>
      </c>
      <c r="B789" s="3">
        <v>46090</v>
      </c>
      <c r="C789" t="s">
        <v>80</v>
      </c>
      <c r="D789" t="s">
        <v>63</v>
      </c>
      <c r="E789" t="s">
        <v>20</v>
      </c>
      <c r="F789" t="s">
        <v>17</v>
      </c>
      <c r="G789">
        <v>1</v>
      </c>
      <c r="H789" s="10">
        <f>_xlfn.XLOOKUP(E789,Table18[Product],Table18[Unit_Price])</f>
        <v>150</v>
      </c>
      <c r="I789" s="10">
        <f>_xlfn.XLOOKUP(E789,Table18[Product],Table18[Cost_Price])</f>
        <v>75</v>
      </c>
      <c r="J789" s="10">
        <v>1</v>
      </c>
      <c r="K789" s="10">
        <f t="shared" si="37"/>
        <v>149</v>
      </c>
      <c r="L789" s="10">
        <f t="shared" si="38"/>
        <v>74</v>
      </c>
      <c r="M789" t="s">
        <v>53</v>
      </c>
      <c r="N789" t="s">
        <v>54</v>
      </c>
      <c r="O789" t="s">
        <v>51</v>
      </c>
      <c r="P789">
        <v>5</v>
      </c>
    </row>
    <row r="790" spans="1:16" x14ac:dyDescent="0.25">
      <c r="A790" t="str">
        <f t="shared" si="36"/>
        <v>ORD0789</v>
      </c>
      <c r="B790" s="3">
        <v>46275</v>
      </c>
      <c r="C790" t="s">
        <v>102</v>
      </c>
      <c r="D790" t="s">
        <v>74</v>
      </c>
      <c r="E790" t="s">
        <v>42</v>
      </c>
      <c r="F790" t="s">
        <v>40</v>
      </c>
      <c r="G790">
        <v>4</v>
      </c>
      <c r="H790" s="10">
        <f>_xlfn.XLOOKUP(E790,Table18[Product],Table18[Unit_Price])</f>
        <v>80</v>
      </c>
      <c r="I790" s="10">
        <f>_xlfn.XLOOKUP(E790,Table18[Product],Table18[Cost_Price])</f>
        <v>40</v>
      </c>
      <c r="J790" s="10">
        <v>19</v>
      </c>
      <c r="K790" s="10">
        <f t="shared" si="37"/>
        <v>301</v>
      </c>
      <c r="L790" s="10">
        <f t="shared" si="38"/>
        <v>141</v>
      </c>
      <c r="M790" t="s">
        <v>57</v>
      </c>
      <c r="N790" t="s">
        <v>50</v>
      </c>
      <c r="O790" t="s">
        <v>59</v>
      </c>
      <c r="P790">
        <v>3</v>
      </c>
    </row>
    <row r="791" spans="1:16" x14ac:dyDescent="0.25">
      <c r="A791" t="str">
        <f t="shared" si="36"/>
        <v>ORD0790</v>
      </c>
      <c r="B791" s="3">
        <v>46242</v>
      </c>
      <c r="C791" t="s">
        <v>86</v>
      </c>
      <c r="D791" t="s">
        <v>68</v>
      </c>
      <c r="E791" t="s">
        <v>22</v>
      </c>
      <c r="F791" t="s">
        <v>23</v>
      </c>
      <c r="G791">
        <v>1</v>
      </c>
      <c r="H791" s="10">
        <f>_xlfn.XLOOKUP(E791,Table18[Product],Table18[Unit_Price])</f>
        <v>190</v>
      </c>
      <c r="I791" s="10">
        <f>_xlfn.XLOOKUP(E791,Table18[Product],Table18[Cost_Price])</f>
        <v>95</v>
      </c>
      <c r="J791" s="10">
        <v>0</v>
      </c>
      <c r="K791" s="10">
        <f t="shared" si="37"/>
        <v>190</v>
      </c>
      <c r="L791" s="10">
        <f t="shared" si="38"/>
        <v>95</v>
      </c>
      <c r="M791" t="s">
        <v>57</v>
      </c>
      <c r="N791" t="s">
        <v>54</v>
      </c>
      <c r="O791" t="s">
        <v>59</v>
      </c>
      <c r="P791">
        <v>4</v>
      </c>
    </row>
    <row r="792" spans="1:16" x14ac:dyDescent="0.25">
      <c r="A792" t="str">
        <f t="shared" si="36"/>
        <v>ORD0791</v>
      </c>
      <c r="B792" s="3">
        <v>46317</v>
      </c>
      <c r="C792" t="s">
        <v>99</v>
      </c>
      <c r="D792" t="s">
        <v>52</v>
      </c>
      <c r="E792" t="s">
        <v>30</v>
      </c>
      <c r="F792" t="s">
        <v>31</v>
      </c>
      <c r="G792">
        <v>2</v>
      </c>
      <c r="H792" s="10">
        <f>_xlfn.XLOOKUP(E792,Table18[Product],Table18[Unit_Price])</f>
        <v>110</v>
      </c>
      <c r="I792" s="10">
        <f>_xlfn.XLOOKUP(E792,Table18[Product],Table18[Cost_Price])</f>
        <v>55</v>
      </c>
      <c r="J792" s="10">
        <v>4</v>
      </c>
      <c r="K792" s="10">
        <f t="shared" si="37"/>
        <v>216</v>
      </c>
      <c r="L792" s="10">
        <f t="shared" si="38"/>
        <v>106</v>
      </c>
      <c r="M792" t="s">
        <v>57</v>
      </c>
      <c r="N792" t="s">
        <v>50</v>
      </c>
      <c r="O792" t="s">
        <v>51</v>
      </c>
      <c r="P792">
        <v>4</v>
      </c>
    </row>
    <row r="793" spans="1:16" x14ac:dyDescent="0.25">
      <c r="A793" t="str">
        <f t="shared" si="36"/>
        <v>ORD0792</v>
      </c>
      <c r="B793" s="3">
        <v>46359</v>
      </c>
      <c r="C793" t="s">
        <v>95</v>
      </c>
      <c r="D793" t="s">
        <v>60</v>
      </c>
      <c r="E793" t="s">
        <v>27</v>
      </c>
      <c r="F793" t="s">
        <v>28</v>
      </c>
      <c r="G793">
        <v>3</v>
      </c>
      <c r="H793" s="10">
        <f>_xlfn.XLOOKUP(E793,Table18[Product],Table18[Unit_Price])</f>
        <v>140</v>
      </c>
      <c r="I793" s="10">
        <f>_xlfn.XLOOKUP(E793,Table18[Product],Table18[Cost_Price])</f>
        <v>70</v>
      </c>
      <c r="J793" s="10">
        <v>8</v>
      </c>
      <c r="K793" s="10">
        <f t="shared" si="37"/>
        <v>412</v>
      </c>
      <c r="L793" s="10">
        <f t="shared" si="38"/>
        <v>202</v>
      </c>
      <c r="M793" t="s">
        <v>64</v>
      </c>
      <c r="N793" t="s">
        <v>58</v>
      </c>
      <c r="O793" t="s">
        <v>75</v>
      </c>
      <c r="P793">
        <v>3</v>
      </c>
    </row>
    <row r="794" spans="1:16" x14ac:dyDescent="0.25">
      <c r="A794" t="str">
        <f t="shared" si="36"/>
        <v>ORD0793</v>
      </c>
      <c r="B794" s="3">
        <v>46143</v>
      </c>
      <c r="C794" t="s">
        <v>101</v>
      </c>
      <c r="D794" t="s">
        <v>72</v>
      </c>
      <c r="E794" t="s">
        <v>16</v>
      </c>
      <c r="F794" t="s">
        <v>17</v>
      </c>
      <c r="G794">
        <v>4</v>
      </c>
      <c r="H794" s="10">
        <f>_xlfn.XLOOKUP(E794,Table18[Product],Table18[Unit_Price])</f>
        <v>120</v>
      </c>
      <c r="I794" s="10">
        <f>_xlfn.XLOOKUP(E794,Table18[Product],Table18[Cost_Price])</f>
        <v>60</v>
      </c>
      <c r="J794" s="10">
        <v>43</v>
      </c>
      <c r="K794" s="10">
        <f t="shared" si="37"/>
        <v>437</v>
      </c>
      <c r="L794" s="10">
        <f t="shared" si="38"/>
        <v>197</v>
      </c>
      <c r="M794" t="s">
        <v>57</v>
      </c>
      <c r="N794" t="s">
        <v>50</v>
      </c>
      <c r="O794" t="s">
        <v>69</v>
      </c>
      <c r="P794">
        <v>3</v>
      </c>
    </row>
    <row r="795" spans="1:16" x14ac:dyDescent="0.25">
      <c r="A795" t="str">
        <f t="shared" si="36"/>
        <v>ORD0794</v>
      </c>
      <c r="B795" s="3">
        <v>46334</v>
      </c>
      <c r="C795" t="s">
        <v>83</v>
      </c>
      <c r="D795" t="s">
        <v>52</v>
      </c>
      <c r="E795" t="s">
        <v>25</v>
      </c>
      <c r="F795" t="s">
        <v>26</v>
      </c>
      <c r="G795">
        <v>2</v>
      </c>
      <c r="H795" s="10">
        <f>_xlfn.XLOOKUP(E795,Table18[Product],Table18[Unit_Price])</f>
        <v>170</v>
      </c>
      <c r="I795" s="10">
        <f>_xlfn.XLOOKUP(E795,Table18[Product],Table18[Cost_Price])</f>
        <v>85</v>
      </c>
      <c r="J795" s="10">
        <v>2</v>
      </c>
      <c r="K795" s="10">
        <f t="shared" si="37"/>
        <v>338</v>
      </c>
      <c r="L795" s="10">
        <f t="shared" si="38"/>
        <v>168</v>
      </c>
      <c r="M795" t="s">
        <v>64</v>
      </c>
      <c r="N795" t="s">
        <v>54</v>
      </c>
      <c r="O795" t="s">
        <v>75</v>
      </c>
      <c r="P795">
        <v>5</v>
      </c>
    </row>
    <row r="796" spans="1:16" x14ac:dyDescent="0.25">
      <c r="A796" t="str">
        <f t="shared" si="36"/>
        <v>ORD0795</v>
      </c>
      <c r="B796" s="3">
        <v>46117</v>
      </c>
      <c r="C796" t="s">
        <v>86</v>
      </c>
      <c r="D796" t="s">
        <v>70</v>
      </c>
      <c r="E796" t="s">
        <v>36</v>
      </c>
      <c r="F796" t="s">
        <v>35</v>
      </c>
      <c r="G796">
        <v>1</v>
      </c>
      <c r="H796" s="10">
        <f>_xlfn.XLOOKUP(E796,Table18[Product],Table18[Unit_Price])</f>
        <v>220</v>
      </c>
      <c r="I796" s="10">
        <f>_xlfn.XLOOKUP(E796,Table18[Product],Table18[Cost_Price])</f>
        <v>110</v>
      </c>
      <c r="J796" s="10">
        <v>23</v>
      </c>
      <c r="K796" s="10">
        <f t="shared" si="37"/>
        <v>197</v>
      </c>
      <c r="L796" s="10">
        <f t="shared" si="38"/>
        <v>87</v>
      </c>
      <c r="M796" t="s">
        <v>49</v>
      </c>
      <c r="N796" t="s">
        <v>54</v>
      </c>
      <c r="O796" t="s">
        <v>55</v>
      </c>
      <c r="P796">
        <v>5</v>
      </c>
    </row>
    <row r="797" spans="1:16" x14ac:dyDescent="0.25">
      <c r="A797" t="str">
        <f t="shared" si="36"/>
        <v>ORD0796</v>
      </c>
      <c r="B797" s="3">
        <v>46288</v>
      </c>
      <c r="C797" t="s">
        <v>105</v>
      </c>
      <c r="D797" t="s">
        <v>74</v>
      </c>
      <c r="E797" t="s">
        <v>33</v>
      </c>
      <c r="F797" t="s">
        <v>31</v>
      </c>
      <c r="G797">
        <v>3</v>
      </c>
      <c r="H797" s="10">
        <f>_xlfn.XLOOKUP(E797,Table18[Product],Table18[Unit_Price])</f>
        <v>150</v>
      </c>
      <c r="I797" s="10">
        <f>_xlfn.XLOOKUP(E797,Table18[Product],Table18[Cost_Price])</f>
        <v>75</v>
      </c>
      <c r="J797" s="10">
        <v>40</v>
      </c>
      <c r="K797" s="10">
        <f t="shared" si="37"/>
        <v>410</v>
      </c>
      <c r="L797" s="10">
        <f t="shared" si="38"/>
        <v>185</v>
      </c>
      <c r="M797" t="s">
        <v>61</v>
      </c>
      <c r="N797" t="s">
        <v>50</v>
      </c>
      <c r="O797" t="s">
        <v>65</v>
      </c>
      <c r="P797">
        <v>5</v>
      </c>
    </row>
    <row r="798" spans="1:16" x14ac:dyDescent="0.25">
      <c r="A798" t="str">
        <f t="shared" si="36"/>
        <v>ORD0797</v>
      </c>
      <c r="B798" s="3">
        <v>46101</v>
      </c>
      <c r="C798" t="s">
        <v>101</v>
      </c>
      <c r="D798" t="s">
        <v>66</v>
      </c>
      <c r="E798" t="s">
        <v>27</v>
      </c>
      <c r="F798" t="s">
        <v>28</v>
      </c>
      <c r="G798">
        <v>3</v>
      </c>
      <c r="H798" s="10">
        <f>_xlfn.XLOOKUP(E798,Table18[Product],Table18[Unit_Price])</f>
        <v>140</v>
      </c>
      <c r="I798" s="10">
        <f>_xlfn.XLOOKUP(E798,Table18[Product],Table18[Cost_Price])</f>
        <v>70</v>
      </c>
      <c r="J798" s="10">
        <v>15</v>
      </c>
      <c r="K798" s="10">
        <f t="shared" si="37"/>
        <v>405</v>
      </c>
      <c r="L798" s="10">
        <f t="shared" si="38"/>
        <v>195</v>
      </c>
      <c r="M798" t="s">
        <v>53</v>
      </c>
      <c r="N798" t="s">
        <v>50</v>
      </c>
      <c r="O798" t="s">
        <v>62</v>
      </c>
      <c r="P798">
        <v>4</v>
      </c>
    </row>
    <row r="799" spans="1:16" x14ac:dyDescent="0.25">
      <c r="A799" t="str">
        <f t="shared" si="36"/>
        <v>ORD0798</v>
      </c>
      <c r="B799" s="3">
        <v>46297</v>
      </c>
      <c r="C799" t="s">
        <v>104</v>
      </c>
      <c r="D799" t="s">
        <v>70</v>
      </c>
      <c r="E799" t="s">
        <v>20</v>
      </c>
      <c r="F799" t="s">
        <v>17</v>
      </c>
      <c r="G799">
        <v>5</v>
      </c>
      <c r="H799" s="10">
        <f>_xlfn.XLOOKUP(E799,Table18[Product],Table18[Unit_Price])</f>
        <v>150</v>
      </c>
      <c r="I799" s="10">
        <f>_xlfn.XLOOKUP(E799,Table18[Product],Table18[Cost_Price])</f>
        <v>75</v>
      </c>
      <c r="J799" s="10">
        <v>3</v>
      </c>
      <c r="K799" s="10">
        <f t="shared" si="37"/>
        <v>747</v>
      </c>
      <c r="L799" s="10">
        <f t="shared" si="38"/>
        <v>372</v>
      </c>
      <c r="M799" t="s">
        <v>57</v>
      </c>
      <c r="N799" t="s">
        <v>54</v>
      </c>
      <c r="O799" t="s">
        <v>75</v>
      </c>
      <c r="P799">
        <v>5</v>
      </c>
    </row>
    <row r="800" spans="1:16" x14ac:dyDescent="0.25">
      <c r="A800" t="str">
        <f t="shared" si="36"/>
        <v>ORD0799</v>
      </c>
      <c r="B800" s="3">
        <v>46134</v>
      </c>
      <c r="C800" t="s">
        <v>102</v>
      </c>
      <c r="D800" t="s">
        <v>70</v>
      </c>
      <c r="E800" t="s">
        <v>25</v>
      </c>
      <c r="F800" t="s">
        <v>26</v>
      </c>
      <c r="G800">
        <v>2</v>
      </c>
      <c r="H800" s="10">
        <f>_xlfn.XLOOKUP(E800,Table18[Product],Table18[Unit_Price])</f>
        <v>170</v>
      </c>
      <c r="I800" s="10">
        <f>_xlfn.XLOOKUP(E800,Table18[Product],Table18[Cost_Price])</f>
        <v>85</v>
      </c>
      <c r="J800" s="10">
        <v>32</v>
      </c>
      <c r="K800" s="10">
        <f t="shared" si="37"/>
        <v>308</v>
      </c>
      <c r="L800" s="10">
        <f t="shared" si="38"/>
        <v>138</v>
      </c>
      <c r="M800" t="s">
        <v>61</v>
      </c>
      <c r="N800" t="s">
        <v>54</v>
      </c>
      <c r="O800" t="s">
        <v>55</v>
      </c>
      <c r="P800">
        <v>5</v>
      </c>
    </row>
    <row r="801" spans="1:16" x14ac:dyDescent="0.25">
      <c r="A801" t="str">
        <f t="shared" si="36"/>
        <v>ORD0800</v>
      </c>
      <c r="B801" s="3">
        <v>46181</v>
      </c>
      <c r="C801" t="s">
        <v>92</v>
      </c>
      <c r="D801" t="s">
        <v>63</v>
      </c>
      <c r="E801" t="s">
        <v>37</v>
      </c>
      <c r="F801" t="s">
        <v>35</v>
      </c>
      <c r="G801">
        <v>1</v>
      </c>
      <c r="H801" s="10">
        <f>_xlfn.XLOOKUP(E801,Table18[Product],Table18[Unit_Price])</f>
        <v>160</v>
      </c>
      <c r="I801" s="10">
        <f>_xlfn.XLOOKUP(E801,Table18[Product],Table18[Cost_Price])</f>
        <v>80</v>
      </c>
      <c r="J801" s="10">
        <v>14</v>
      </c>
      <c r="K801" s="10">
        <f t="shared" si="37"/>
        <v>146</v>
      </c>
      <c r="L801" s="10">
        <f t="shared" si="38"/>
        <v>66</v>
      </c>
      <c r="M801" t="s">
        <v>64</v>
      </c>
      <c r="N801" t="s">
        <v>58</v>
      </c>
      <c r="O801" t="s">
        <v>75</v>
      </c>
      <c r="P801">
        <v>5</v>
      </c>
    </row>
    <row r="802" spans="1:16" x14ac:dyDescent="0.25">
      <c r="A802" t="str">
        <f t="shared" si="36"/>
        <v>ORD0801</v>
      </c>
      <c r="B802" s="3">
        <v>46208</v>
      </c>
      <c r="C802" t="s">
        <v>96</v>
      </c>
      <c r="D802" t="s">
        <v>48</v>
      </c>
      <c r="E802" t="s">
        <v>21</v>
      </c>
      <c r="F802" t="s">
        <v>17</v>
      </c>
      <c r="G802">
        <v>5</v>
      </c>
      <c r="H802" s="10">
        <f>_xlfn.XLOOKUP(E802,Table18[Product],Table18[Unit_Price])</f>
        <v>220</v>
      </c>
      <c r="I802" s="10">
        <f>_xlfn.XLOOKUP(E802,Table18[Product],Table18[Cost_Price])</f>
        <v>110</v>
      </c>
      <c r="J802" s="10">
        <v>3</v>
      </c>
      <c r="K802" s="10">
        <f t="shared" si="37"/>
        <v>1097</v>
      </c>
      <c r="L802" s="10">
        <f t="shared" si="38"/>
        <v>547</v>
      </c>
      <c r="M802" t="s">
        <v>49</v>
      </c>
      <c r="N802" t="s">
        <v>54</v>
      </c>
      <c r="O802" t="s">
        <v>65</v>
      </c>
      <c r="P802">
        <v>5</v>
      </c>
    </row>
    <row r="803" spans="1:16" x14ac:dyDescent="0.25">
      <c r="A803" t="str">
        <f t="shared" si="36"/>
        <v>ORD0802</v>
      </c>
      <c r="B803" s="3">
        <v>46187</v>
      </c>
      <c r="C803" t="s">
        <v>89</v>
      </c>
      <c r="D803" t="s">
        <v>56</v>
      </c>
      <c r="E803" t="s">
        <v>42</v>
      </c>
      <c r="F803" t="s">
        <v>40</v>
      </c>
      <c r="G803">
        <v>1</v>
      </c>
      <c r="H803" s="10">
        <f>_xlfn.XLOOKUP(E803,Table18[Product],Table18[Unit_Price])</f>
        <v>80</v>
      </c>
      <c r="I803" s="10">
        <f>_xlfn.XLOOKUP(E803,Table18[Product],Table18[Cost_Price])</f>
        <v>40</v>
      </c>
      <c r="J803" s="10">
        <v>5</v>
      </c>
      <c r="K803" s="10">
        <f t="shared" si="37"/>
        <v>75</v>
      </c>
      <c r="L803" s="10">
        <f t="shared" si="38"/>
        <v>35</v>
      </c>
      <c r="M803" t="s">
        <v>64</v>
      </c>
      <c r="N803" t="s">
        <v>54</v>
      </c>
      <c r="O803" t="s">
        <v>65</v>
      </c>
      <c r="P803">
        <v>3</v>
      </c>
    </row>
    <row r="804" spans="1:16" x14ac:dyDescent="0.25">
      <c r="A804" t="str">
        <f t="shared" si="36"/>
        <v>ORD0803</v>
      </c>
      <c r="B804" s="3">
        <v>46119</v>
      </c>
      <c r="C804" t="s">
        <v>82</v>
      </c>
      <c r="D804" t="s">
        <v>66</v>
      </c>
      <c r="E804" t="s">
        <v>36</v>
      </c>
      <c r="F804" t="s">
        <v>35</v>
      </c>
      <c r="G804">
        <v>5</v>
      </c>
      <c r="H804" s="10">
        <f>_xlfn.XLOOKUP(E804,Table18[Product],Table18[Unit_Price])</f>
        <v>220</v>
      </c>
      <c r="I804" s="10">
        <f>_xlfn.XLOOKUP(E804,Table18[Product],Table18[Cost_Price])</f>
        <v>110</v>
      </c>
      <c r="J804" s="10">
        <v>23</v>
      </c>
      <c r="K804" s="10">
        <f t="shared" si="37"/>
        <v>1077</v>
      </c>
      <c r="L804" s="10">
        <f t="shared" si="38"/>
        <v>527</v>
      </c>
      <c r="M804" t="s">
        <v>57</v>
      </c>
      <c r="N804" t="s">
        <v>58</v>
      </c>
      <c r="O804" t="s">
        <v>51</v>
      </c>
      <c r="P804">
        <v>5</v>
      </c>
    </row>
    <row r="805" spans="1:16" x14ac:dyDescent="0.25">
      <c r="A805" t="str">
        <f t="shared" si="36"/>
        <v>ORD0804</v>
      </c>
      <c r="B805" s="3">
        <v>46228</v>
      </c>
      <c r="C805" t="s">
        <v>101</v>
      </c>
      <c r="D805" t="s">
        <v>66</v>
      </c>
      <c r="E805" t="s">
        <v>36</v>
      </c>
      <c r="F805" t="s">
        <v>35</v>
      </c>
      <c r="G805">
        <v>3</v>
      </c>
      <c r="H805" s="10">
        <f>_xlfn.XLOOKUP(E805,Table18[Product],Table18[Unit_Price])</f>
        <v>220</v>
      </c>
      <c r="I805" s="10">
        <f>_xlfn.XLOOKUP(E805,Table18[Product],Table18[Cost_Price])</f>
        <v>110</v>
      </c>
      <c r="J805" s="10">
        <v>14</v>
      </c>
      <c r="K805" s="10">
        <f t="shared" si="37"/>
        <v>646</v>
      </c>
      <c r="L805" s="10">
        <f t="shared" si="38"/>
        <v>316</v>
      </c>
      <c r="M805" t="s">
        <v>49</v>
      </c>
      <c r="N805" t="s">
        <v>58</v>
      </c>
      <c r="O805" t="s">
        <v>62</v>
      </c>
      <c r="P805">
        <v>4</v>
      </c>
    </row>
    <row r="806" spans="1:16" x14ac:dyDescent="0.25">
      <c r="A806" t="str">
        <f t="shared" si="36"/>
        <v>ORD0805</v>
      </c>
      <c r="B806" s="3">
        <v>46231</v>
      </c>
      <c r="C806" t="s">
        <v>90</v>
      </c>
      <c r="D806" t="s">
        <v>68</v>
      </c>
      <c r="E806" t="s">
        <v>20</v>
      </c>
      <c r="F806" t="s">
        <v>17</v>
      </c>
      <c r="G806">
        <v>3</v>
      </c>
      <c r="H806" s="10">
        <f>_xlfn.XLOOKUP(E806,Table18[Product],Table18[Unit_Price])</f>
        <v>150</v>
      </c>
      <c r="I806" s="10">
        <f>_xlfn.XLOOKUP(E806,Table18[Product],Table18[Cost_Price])</f>
        <v>75</v>
      </c>
      <c r="J806" s="10">
        <v>25</v>
      </c>
      <c r="K806" s="10">
        <f t="shared" si="37"/>
        <v>425</v>
      </c>
      <c r="L806" s="10">
        <f t="shared" si="38"/>
        <v>200</v>
      </c>
      <c r="M806" t="s">
        <v>53</v>
      </c>
      <c r="N806" t="s">
        <v>58</v>
      </c>
      <c r="O806" t="s">
        <v>75</v>
      </c>
      <c r="P806">
        <v>5</v>
      </c>
    </row>
    <row r="807" spans="1:16" x14ac:dyDescent="0.25">
      <c r="A807" t="str">
        <f t="shared" si="36"/>
        <v>ORD0806</v>
      </c>
      <c r="B807" s="3">
        <v>46246</v>
      </c>
      <c r="C807" t="s">
        <v>96</v>
      </c>
      <c r="D807" t="s">
        <v>74</v>
      </c>
      <c r="E807" t="s">
        <v>37</v>
      </c>
      <c r="F807" t="s">
        <v>35</v>
      </c>
      <c r="G807">
        <v>5</v>
      </c>
      <c r="H807" s="10">
        <f>_xlfn.XLOOKUP(E807,Table18[Product],Table18[Unit_Price])</f>
        <v>160</v>
      </c>
      <c r="I807" s="10">
        <f>_xlfn.XLOOKUP(E807,Table18[Product],Table18[Cost_Price])</f>
        <v>80</v>
      </c>
      <c r="J807" s="10">
        <v>4</v>
      </c>
      <c r="K807" s="10">
        <f t="shared" si="37"/>
        <v>796</v>
      </c>
      <c r="L807" s="10">
        <f t="shared" si="38"/>
        <v>396</v>
      </c>
      <c r="M807" t="s">
        <v>53</v>
      </c>
      <c r="N807" t="s">
        <v>50</v>
      </c>
      <c r="O807" t="s">
        <v>51</v>
      </c>
      <c r="P807">
        <v>5</v>
      </c>
    </row>
    <row r="808" spans="1:16" x14ac:dyDescent="0.25">
      <c r="A808" t="str">
        <f t="shared" si="36"/>
        <v>ORD0807</v>
      </c>
      <c r="B808" s="3">
        <v>46143</v>
      </c>
      <c r="C808" t="s">
        <v>77</v>
      </c>
      <c r="D808" t="s">
        <v>66</v>
      </c>
      <c r="E808" t="s">
        <v>20</v>
      </c>
      <c r="F808" t="s">
        <v>17</v>
      </c>
      <c r="G808">
        <v>2</v>
      </c>
      <c r="H808" s="10">
        <f>_xlfn.XLOOKUP(E808,Table18[Product],Table18[Unit_Price])</f>
        <v>150</v>
      </c>
      <c r="I808" s="10">
        <f>_xlfn.XLOOKUP(E808,Table18[Product],Table18[Cost_Price])</f>
        <v>75</v>
      </c>
      <c r="J808" s="10">
        <v>35</v>
      </c>
      <c r="K808" s="10">
        <f t="shared" si="37"/>
        <v>265</v>
      </c>
      <c r="L808" s="10">
        <f t="shared" si="38"/>
        <v>115</v>
      </c>
      <c r="M808" t="s">
        <v>49</v>
      </c>
      <c r="N808" t="s">
        <v>50</v>
      </c>
      <c r="O808" t="s">
        <v>73</v>
      </c>
      <c r="P808">
        <v>4</v>
      </c>
    </row>
    <row r="809" spans="1:16" x14ac:dyDescent="0.25">
      <c r="A809" t="str">
        <f t="shared" si="36"/>
        <v>ORD0808</v>
      </c>
      <c r="B809" s="3">
        <v>46040</v>
      </c>
      <c r="C809" t="s">
        <v>93</v>
      </c>
      <c r="D809" t="s">
        <v>70</v>
      </c>
      <c r="E809" t="s">
        <v>42</v>
      </c>
      <c r="F809" t="s">
        <v>40</v>
      </c>
      <c r="G809">
        <v>5</v>
      </c>
      <c r="H809" s="10">
        <f>_xlfn.XLOOKUP(E809,Table18[Product],Table18[Unit_Price])</f>
        <v>80</v>
      </c>
      <c r="I809" s="10">
        <f>_xlfn.XLOOKUP(E809,Table18[Product],Table18[Cost_Price])</f>
        <v>40</v>
      </c>
      <c r="J809" s="10">
        <v>47</v>
      </c>
      <c r="K809" s="10">
        <f t="shared" si="37"/>
        <v>353</v>
      </c>
      <c r="L809" s="10">
        <f t="shared" si="38"/>
        <v>153</v>
      </c>
      <c r="M809" t="s">
        <v>53</v>
      </c>
      <c r="N809" t="s">
        <v>58</v>
      </c>
      <c r="O809" t="s">
        <v>55</v>
      </c>
      <c r="P809">
        <v>4</v>
      </c>
    </row>
    <row r="810" spans="1:16" x14ac:dyDescent="0.25">
      <c r="A810" t="str">
        <f t="shared" si="36"/>
        <v>ORD0809</v>
      </c>
      <c r="B810" s="3">
        <v>46251</v>
      </c>
      <c r="C810" t="s">
        <v>90</v>
      </c>
      <c r="D810" t="s">
        <v>68</v>
      </c>
      <c r="E810" t="s">
        <v>34</v>
      </c>
      <c r="F810" t="s">
        <v>35</v>
      </c>
      <c r="G810">
        <v>1</v>
      </c>
      <c r="H810" s="10">
        <f>_xlfn.XLOOKUP(E810,Table18[Product],Table18[Unit_Price])</f>
        <v>180</v>
      </c>
      <c r="I810" s="10">
        <f>_xlfn.XLOOKUP(E810,Table18[Product],Table18[Cost_Price])</f>
        <v>90</v>
      </c>
      <c r="J810" s="10">
        <v>14</v>
      </c>
      <c r="K810" s="10">
        <f t="shared" si="37"/>
        <v>166</v>
      </c>
      <c r="L810" s="10">
        <f t="shared" si="38"/>
        <v>76</v>
      </c>
      <c r="M810" t="s">
        <v>61</v>
      </c>
      <c r="N810" t="s">
        <v>54</v>
      </c>
      <c r="O810" t="s">
        <v>71</v>
      </c>
      <c r="P810">
        <v>5</v>
      </c>
    </row>
    <row r="811" spans="1:16" x14ac:dyDescent="0.25">
      <c r="A811" t="str">
        <f t="shared" si="36"/>
        <v>ORD0810</v>
      </c>
      <c r="B811" s="3">
        <v>46372</v>
      </c>
      <c r="C811" t="s">
        <v>95</v>
      </c>
      <c r="D811" t="s">
        <v>72</v>
      </c>
      <c r="E811" t="s">
        <v>16</v>
      </c>
      <c r="F811" t="s">
        <v>17</v>
      </c>
      <c r="G811">
        <v>4</v>
      </c>
      <c r="H811" s="10">
        <f>_xlfn.XLOOKUP(E811,Table18[Product],Table18[Unit_Price])</f>
        <v>120</v>
      </c>
      <c r="I811" s="10">
        <f>_xlfn.XLOOKUP(E811,Table18[Product],Table18[Cost_Price])</f>
        <v>60</v>
      </c>
      <c r="J811" s="10">
        <v>3</v>
      </c>
      <c r="K811" s="10">
        <f t="shared" si="37"/>
        <v>477</v>
      </c>
      <c r="L811" s="10">
        <f t="shared" si="38"/>
        <v>237</v>
      </c>
      <c r="M811" t="s">
        <v>53</v>
      </c>
      <c r="N811" t="s">
        <v>54</v>
      </c>
      <c r="O811" t="s">
        <v>59</v>
      </c>
      <c r="P811">
        <v>4</v>
      </c>
    </row>
    <row r="812" spans="1:16" x14ac:dyDescent="0.25">
      <c r="A812" t="str">
        <f t="shared" si="36"/>
        <v>ORD0811</v>
      </c>
      <c r="B812" s="3">
        <v>46135</v>
      </c>
      <c r="C812" t="s">
        <v>86</v>
      </c>
      <c r="D812" t="s">
        <v>74</v>
      </c>
      <c r="E812" t="s">
        <v>33</v>
      </c>
      <c r="F812" t="s">
        <v>31</v>
      </c>
      <c r="G812">
        <v>3</v>
      </c>
      <c r="H812" s="10">
        <f>_xlfn.XLOOKUP(E812,Table18[Product],Table18[Unit_Price])</f>
        <v>150</v>
      </c>
      <c r="I812" s="10">
        <f>_xlfn.XLOOKUP(E812,Table18[Product],Table18[Cost_Price])</f>
        <v>75</v>
      </c>
      <c r="J812" s="10">
        <v>35</v>
      </c>
      <c r="K812" s="10">
        <f t="shared" si="37"/>
        <v>415</v>
      </c>
      <c r="L812" s="10">
        <f t="shared" si="38"/>
        <v>190</v>
      </c>
      <c r="M812" t="s">
        <v>53</v>
      </c>
      <c r="N812" t="s">
        <v>50</v>
      </c>
      <c r="O812" t="s">
        <v>51</v>
      </c>
      <c r="P812">
        <v>3</v>
      </c>
    </row>
    <row r="813" spans="1:16" x14ac:dyDescent="0.25">
      <c r="A813" t="str">
        <f t="shared" si="36"/>
        <v>ORD0812</v>
      </c>
      <c r="B813" s="3">
        <v>46237</v>
      </c>
      <c r="C813" t="s">
        <v>83</v>
      </c>
      <c r="D813" t="s">
        <v>66</v>
      </c>
      <c r="E813" t="s">
        <v>34</v>
      </c>
      <c r="F813" t="s">
        <v>35</v>
      </c>
      <c r="G813">
        <v>3</v>
      </c>
      <c r="H813" s="10">
        <f>_xlfn.XLOOKUP(E813,Table18[Product],Table18[Unit_Price])</f>
        <v>180</v>
      </c>
      <c r="I813" s="10">
        <f>_xlfn.XLOOKUP(E813,Table18[Product],Table18[Cost_Price])</f>
        <v>90</v>
      </c>
      <c r="J813" s="10">
        <v>39</v>
      </c>
      <c r="K813" s="10">
        <f t="shared" si="37"/>
        <v>501</v>
      </c>
      <c r="L813" s="10">
        <f t="shared" si="38"/>
        <v>231</v>
      </c>
      <c r="M813" t="s">
        <v>61</v>
      </c>
      <c r="N813" t="s">
        <v>58</v>
      </c>
      <c r="O813" t="s">
        <v>55</v>
      </c>
      <c r="P813">
        <v>4</v>
      </c>
    </row>
    <row r="814" spans="1:16" x14ac:dyDescent="0.25">
      <c r="A814" t="str">
        <f t="shared" si="36"/>
        <v>ORD0813</v>
      </c>
      <c r="B814" s="3">
        <v>46330</v>
      </c>
      <c r="C814" t="s">
        <v>77</v>
      </c>
      <c r="D814" t="s">
        <v>48</v>
      </c>
      <c r="E814" t="s">
        <v>25</v>
      </c>
      <c r="F814" t="s">
        <v>26</v>
      </c>
      <c r="G814">
        <v>2</v>
      </c>
      <c r="H814" s="10">
        <f>_xlfn.XLOOKUP(E814,Table18[Product],Table18[Unit_Price])</f>
        <v>170</v>
      </c>
      <c r="I814" s="10">
        <f>_xlfn.XLOOKUP(E814,Table18[Product],Table18[Cost_Price])</f>
        <v>85</v>
      </c>
      <c r="J814" s="10">
        <v>44</v>
      </c>
      <c r="K814" s="10">
        <f t="shared" si="37"/>
        <v>296</v>
      </c>
      <c r="L814" s="10">
        <f t="shared" si="38"/>
        <v>126</v>
      </c>
      <c r="M814" t="s">
        <v>57</v>
      </c>
      <c r="N814" t="s">
        <v>50</v>
      </c>
      <c r="O814" t="s">
        <v>75</v>
      </c>
      <c r="P814">
        <v>3</v>
      </c>
    </row>
    <row r="815" spans="1:16" x14ac:dyDescent="0.25">
      <c r="A815" t="str">
        <f t="shared" si="36"/>
        <v>ORD0814</v>
      </c>
      <c r="B815" s="3">
        <v>46377</v>
      </c>
      <c r="C815" t="s">
        <v>83</v>
      </c>
      <c r="D815" t="s">
        <v>63</v>
      </c>
      <c r="E815" t="s">
        <v>39</v>
      </c>
      <c r="F815" t="s">
        <v>40</v>
      </c>
      <c r="G815">
        <v>3</v>
      </c>
      <c r="H815" s="10">
        <f>_xlfn.XLOOKUP(E815,Table18[Product],Table18[Unit_Price])</f>
        <v>240</v>
      </c>
      <c r="I815" s="10">
        <f>_xlfn.XLOOKUP(E815,Table18[Product],Table18[Cost_Price])</f>
        <v>120</v>
      </c>
      <c r="J815" s="10">
        <v>34</v>
      </c>
      <c r="K815" s="10">
        <f t="shared" si="37"/>
        <v>686</v>
      </c>
      <c r="L815" s="10">
        <f t="shared" si="38"/>
        <v>326</v>
      </c>
      <c r="M815" t="s">
        <v>49</v>
      </c>
      <c r="N815" t="s">
        <v>54</v>
      </c>
      <c r="O815" t="s">
        <v>69</v>
      </c>
      <c r="P815">
        <v>5</v>
      </c>
    </row>
    <row r="816" spans="1:16" x14ac:dyDescent="0.25">
      <c r="A816" t="str">
        <f t="shared" si="36"/>
        <v>ORD0815</v>
      </c>
      <c r="B816" s="3">
        <v>46169</v>
      </c>
      <c r="C816" t="s">
        <v>96</v>
      </c>
      <c r="D816" t="s">
        <v>66</v>
      </c>
      <c r="E816" t="s">
        <v>20</v>
      </c>
      <c r="F816" t="s">
        <v>17</v>
      </c>
      <c r="G816">
        <v>3</v>
      </c>
      <c r="H816" s="10">
        <f>_xlfn.XLOOKUP(E816,Table18[Product],Table18[Unit_Price])</f>
        <v>150</v>
      </c>
      <c r="I816" s="10">
        <f>_xlfn.XLOOKUP(E816,Table18[Product],Table18[Cost_Price])</f>
        <v>75</v>
      </c>
      <c r="J816" s="10">
        <v>40</v>
      </c>
      <c r="K816" s="10">
        <f t="shared" si="37"/>
        <v>410</v>
      </c>
      <c r="L816" s="10">
        <f t="shared" si="38"/>
        <v>185</v>
      </c>
      <c r="M816" t="s">
        <v>64</v>
      </c>
      <c r="N816" t="s">
        <v>54</v>
      </c>
      <c r="O816" t="s">
        <v>62</v>
      </c>
      <c r="P816">
        <v>5</v>
      </c>
    </row>
    <row r="817" spans="1:16" x14ac:dyDescent="0.25">
      <c r="A817" t="str">
        <f t="shared" si="36"/>
        <v>ORD0816</v>
      </c>
      <c r="B817" s="3">
        <v>46188</v>
      </c>
      <c r="C817" t="s">
        <v>78</v>
      </c>
      <c r="D817" t="s">
        <v>48</v>
      </c>
      <c r="E817" t="s">
        <v>25</v>
      </c>
      <c r="F817" t="s">
        <v>26</v>
      </c>
      <c r="G817">
        <v>1</v>
      </c>
      <c r="H817" s="10">
        <f>_xlfn.XLOOKUP(E817,Table18[Product],Table18[Unit_Price])</f>
        <v>170</v>
      </c>
      <c r="I817" s="10">
        <f>_xlfn.XLOOKUP(E817,Table18[Product],Table18[Cost_Price])</f>
        <v>85</v>
      </c>
      <c r="J817" s="10">
        <v>5</v>
      </c>
      <c r="K817" s="10">
        <f t="shared" si="37"/>
        <v>165</v>
      </c>
      <c r="L817" s="10">
        <f t="shared" si="38"/>
        <v>80</v>
      </c>
      <c r="M817" t="s">
        <v>57</v>
      </c>
      <c r="N817" t="s">
        <v>50</v>
      </c>
      <c r="O817" t="s">
        <v>65</v>
      </c>
      <c r="P817">
        <v>3</v>
      </c>
    </row>
    <row r="818" spans="1:16" x14ac:dyDescent="0.25">
      <c r="A818" t="str">
        <f t="shared" si="36"/>
        <v>ORD0817</v>
      </c>
      <c r="B818" s="3">
        <v>46121</v>
      </c>
      <c r="C818" t="s">
        <v>103</v>
      </c>
      <c r="D818" t="s">
        <v>48</v>
      </c>
      <c r="E818" t="s">
        <v>41</v>
      </c>
      <c r="F818" t="s">
        <v>40</v>
      </c>
      <c r="G818">
        <v>3</v>
      </c>
      <c r="H818" s="10">
        <f>_xlfn.XLOOKUP(E818,Table18[Product],Table18[Unit_Price])</f>
        <v>100</v>
      </c>
      <c r="I818" s="10">
        <f>_xlfn.XLOOKUP(E818,Table18[Product],Table18[Cost_Price])</f>
        <v>50</v>
      </c>
      <c r="J818" s="10">
        <v>17</v>
      </c>
      <c r="K818" s="10">
        <f t="shared" si="37"/>
        <v>283</v>
      </c>
      <c r="L818" s="10">
        <f t="shared" si="38"/>
        <v>133</v>
      </c>
      <c r="M818" t="s">
        <v>53</v>
      </c>
      <c r="N818" t="s">
        <v>54</v>
      </c>
      <c r="O818" t="s">
        <v>67</v>
      </c>
      <c r="P818">
        <v>5</v>
      </c>
    </row>
    <row r="819" spans="1:16" x14ac:dyDescent="0.25">
      <c r="A819" t="str">
        <f t="shared" si="36"/>
        <v>ORD0818</v>
      </c>
      <c r="B819" s="3">
        <v>46075</v>
      </c>
      <c r="C819" t="s">
        <v>101</v>
      </c>
      <c r="D819" t="s">
        <v>52</v>
      </c>
      <c r="E819" t="s">
        <v>39</v>
      </c>
      <c r="F819" t="s">
        <v>40</v>
      </c>
      <c r="G819">
        <v>4</v>
      </c>
      <c r="H819" s="10">
        <f>_xlfn.XLOOKUP(E819,Table18[Product],Table18[Unit_Price])</f>
        <v>240</v>
      </c>
      <c r="I819" s="10">
        <f>_xlfn.XLOOKUP(E819,Table18[Product],Table18[Cost_Price])</f>
        <v>120</v>
      </c>
      <c r="J819" s="10">
        <v>25</v>
      </c>
      <c r="K819" s="10">
        <f t="shared" si="37"/>
        <v>935</v>
      </c>
      <c r="L819" s="10">
        <f t="shared" si="38"/>
        <v>455</v>
      </c>
      <c r="M819" t="s">
        <v>61</v>
      </c>
      <c r="N819" t="s">
        <v>50</v>
      </c>
      <c r="O819" t="s">
        <v>55</v>
      </c>
      <c r="P819">
        <v>4</v>
      </c>
    </row>
    <row r="820" spans="1:16" x14ac:dyDescent="0.25">
      <c r="A820" t="str">
        <f t="shared" si="36"/>
        <v>ORD0819</v>
      </c>
      <c r="B820" s="3">
        <v>46238</v>
      </c>
      <c r="C820" t="s">
        <v>82</v>
      </c>
      <c r="D820" t="s">
        <v>48</v>
      </c>
      <c r="E820" t="s">
        <v>32</v>
      </c>
      <c r="F820" t="s">
        <v>31</v>
      </c>
      <c r="G820">
        <v>3</v>
      </c>
      <c r="H820" s="10">
        <f>_xlfn.XLOOKUP(E820,Table18[Product],Table18[Unit_Price])</f>
        <v>130</v>
      </c>
      <c r="I820" s="10">
        <f>_xlfn.XLOOKUP(E820,Table18[Product],Table18[Cost_Price])</f>
        <v>65</v>
      </c>
      <c r="J820" s="10">
        <v>38</v>
      </c>
      <c r="K820" s="10">
        <f t="shared" si="37"/>
        <v>352</v>
      </c>
      <c r="L820" s="10">
        <f t="shared" si="38"/>
        <v>157</v>
      </c>
      <c r="M820" t="s">
        <v>61</v>
      </c>
      <c r="N820" t="s">
        <v>50</v>
      </c>
      <c r="O820" t="s">
        <v>75</v>
      </c>
      <c r="P820">
        <v>4</v>
      </c>
    </row>
    <row r="821" spans="1:16" x14ac:dyDescent="0.25">
      <c r="A821" t="str">
        <f t="shared" si="36"/>
        <v>ORD0820</v>
      </c>
      <c r="B821" s="3">
        <v>46231</v>
      </c>
      <c r="C821" t="s">
        <v>91</v>
      </c>
      <c r="D821" t="s">
        <v>72</v>
      </c>
      <c r="E821" t="s">
        <v>42</v>
      </c>
      <c r="F821" t="s">
        <v>40</v>
      </c>
      <c r="G821">
        <v>1</v>
      </c>
      <c r="H821" s="10">
        <f>_xlfn.XLOOKUP(E821,Table18[Product],Table18[Unit_Price])</f>
        <v>80</v>
      </c>
      <c r="I821" s="10">
        <f>_xlfn.XLOOKUP(E821,Table18[Product],Table18[Cost_Price])</f>
        <v>40</v>
      </c>
      <c r="J821" s="10">
        <v>25</v>
      </c>
      <c r="K821" s="10">
        <f t="shared" si="37"/>
        <v>55</v>
      </c>
      <c r="L821" s="10">
        <f t="shared" si="38"/>
        <v>15</v>
      </c>
      <c r="M821" t="s">
        <v>64</v>
      </c>
      <c r="N821" t="s">
        <v>58</v>
      </c>
      <c r="O821" t="s">
        <v>73</v>
      </c>
      <c r="P821">
        <v>3</v>
      </c>
    </row>
    <row r="822" spans="1:16" x14ac:dyDescent="0.25">
      <c r="A822" t="str">
        <f t="shared" si="36"/>
        <v>ORD0821</v>
      </c>
      <c r="B822" s="3">
        <v>46062</v>
      </c>
      <c r="C822" t="s">
        <v>92</v>
      </c>
      <c r="D822" t="s">
        <v>56</v>
      </c>
      <c r="E822" t="s">
        <v>30</v>
      </c>
      <c r="F822" t="s">
        <v>31</v>
      </c>
      <c r="G822">
        <v>5</v>
      </c>
      <c r="H822" s="10">
        <f>_xlfn.XLOOKUP(E822,Table18[Product],Table18[Unit_Price])</f>
        <v>110</v>
      </c>
      <c r="I822" s="10">
        <f>_xlfn.XLOOKUP(E822,Table18[Product],Table18[Cost_Price])</f>
        <v>55</v>
      </c>
      <c r="J822" s="10">
        <v>44</v>
      </c>
      <c r="K822" s="10">
        <f t="shared" si="37"/>
        <v>506</v>
      </c>
      <c r="L822" s="10">
        <f t="shared" si="38"/>
        <v>231</v>
      </c>
      <c r="M822" t="s">
        <v>49</v>
      </c>
      <c r="N822" t="s">
        <v>54</v>
      </c>
      <c r="O822" t="s">
        <v>71</v>
      </c>
      <c r="P822">
        <v>3</v>
      </c>
    </row>
    <row r="823" spans="1:16" x14ac:dyDescent="0.25">
      <c r="A823" t="str">
        <f t="shared" si="36"/>
        <v>ORD0822</v>
      </c>
      <c r="B823" s="3">
        <v>46240</v>
      </c>
      <c r="C823" t="s">
        <v>91</v>
      </c>
      <c r="D823" t="s">
        <v>68</v>
      </c>
      <c r="E823" t="s">
        <v>16</v>
      </c>
      <c r="F823" t="s">
        <v>17</v>
      </c>
      <c r="G823">
        <v>3</v>
      </c>
      <c r="H823" s="10">
        <f>_xlfn.XLOOKUP(E823,Table18[Product],Table18[Unit_Price])</f>
        <v>120</v>
      </c>
      <c r="I823" s="10">
        <f>_xlfn.XLOOKUP(E823,Table18[Product],Table18[Cost_Price])</f>
        <v>60</v>
      </c>
      <c r="J823" s="10">
        <v>30</v>
      </c>
      <c r="K823" s="10">
        <f t="shared" si="37"/>
        <v>330</v>
      </c>
      <c r="L823" s="10">
        <f t="shared" si="38"/>
        <v>150</v>
      </c>
      <c r="M823" t="s">
        <v>57</v>
      </c>
      <c r="N823" t="s">
        <v>58</v>
      </c>
      <c r="O823" t="s">
        <v>62</v>
      </c>
      <c r="P823">
        <v>5</v>
      </c>
    </row>
    <row r="824" spans="1:16" x14ac:dyDescent="0.25">
      <c r="A824" t="str">
        <f t="shared" si="36"/>
        <v>ORD0823</v>
      </c>
      <c r="B824" s="3">
        <v>46152</v>
      </c>
      <c r="C824" t="s">
        <v>101</v>
      </c>
      <c r="D824" t="s">
        <v>63</v>
      </c>
      <c r="E824" t="s">
        <v>30</v>
      </c>
      <c r="F824" t="s">
        <v>31</v>
      </c>
      <c r="G824">
        <v>4</v>
      </c>
      <c r="H824" s="10">
        <f>_xlfn.XLOOKUP(E824,Table18[Product],Table18[Unit_Price])</f>
        <v>110</v>
      </c>
      <c r="I824" s="10">
        <f>_xlfn.XLOOKUP(E824,Table18[Product],Table18[Cost_Price])</f>
        <v>55</v>
      </c>
      <c r="J824" s="10">
        <v>4</v>
      </c>
      <c r="K824" s="10">
        <f t="shared" si="37"/>
        <v>436</v>
      </c>
      <c r="L824" s="10">
        <f t="shared" si="38"/>
        <v>216</v>
      </c>
      <c r="M824" t="s">
        <v>57</v>
      </c>
      <c r="N824" t="s">
        <v>54</v>
      </c>
      <c r="O824" t="s">
        <v>75</v>
      </c>
      <c r="P824">
        <v>3</v>
      </c>
    </row>
    <row r="825" spans="1:16" x14ac:dyDescent="0.25">
      <c r="A825" t="str">
        <f t="shared" si="36"/>
        <v>ORD0824</v>
      </c>
      <c r="B825" s="3">
        <v>46045</v>
      </c>
      <c r="C825" t="s">
        <v>90</v>
      </c>
      <c r="D825" t="s">
        <v>74</v>
      </c>
      <c r="E825" t="s">
        <v>27</v>
      </c>
      <c r="F825" t="s">
        <v>28</v>
      </c>
      <c r="G825">
        <v>2</v>
      </c>
      <c r="H825" s="10">
        <f>_xlfn.XLOOKUP(E825,Table18[Product],Table18[Unit_Price])</f>
        <v>140</v>
      </c>
      <c r="I825" s="10">
        <f>_xlfn.XLOOKUP(E825,Table18[Product],Table18[Cost_Price])</f>
        <v>70</v>
      </c>
      <c r="J825" s="10">
        <v>38</v>
      </c>
      <c r="K825" s="10">
        <f t="shared" si="37"/>
        <v>242</v>
      </c>
      <c r="L825" s="10">
        <f t="shared" si="38"/>
        <v>102</v>
      </c>
      <c r="M825" t="s">
        <v>49</v>
      </c>
      <c r="N825" t="s">
        <v>50</v>
      </c>
      <c r="O825" t="s">
        <v>59</v>
      </c>
      <c r="P825">
        <v>3</v>
      </c>
    </row>
    <row r="826" spans="1:16" x14ac:dyDescent="0.25">
      <c r="A826" t="str">
        <f t="shared" si="36"/>
        <v>ORD0825</v>
      </c>
      <c r="B826" s="3">
        <v>46098</v>
      </c>
      <c r="C826" t="s">
        <v>92</v>
      </c>
      <c r="D826" t="s">
        <v>66</v>
      </c>
      <c r="E826" t="s">
        <v>29</v>
      </c>
      <c r="F826" t="s">
        <v>28</v>
      </c>
      <c r="G826">
        <v>5</v>
      </c>
      <c r="H826" s="10">
        <f>_xlfn.XLOOKUP(E826,Table18[Product],Table18[Unit_Price])</f>
        <v>120</v>
      </c>
      <c r="I826" s="10">
        <f>_xlfn.XLOOKUP(E826,Table18[Product],Table18[Cost_Price])</f>
        <v>60</v>
      </c>
      <c r="J826" s="10">
        <v>36</v>
      </c>
      <c r="K826" s="10">
        <f t="shared" si="37"/>
        <v>564</v>
      </c>
      <c r="L826" s="10">
        <f t="shared" si="38"/>
        <v>264</v>
      </c>
      <c r="M826" t="s">
        <v>61</v>
      </c>
      <c r="N826" t="s">
        <v>50</v>
      </c>
      <c r="O826" t="s">
        <v>75</v>
      </c>
      <c r="P826">
        <v>3</v>
      </c>
    </row>
    <row r="827" spans="1:16" x14ac:dyDescent="0.25">
      <c r="A827" t="str">
        <f t="shared" si="36"/>
        <v>ORD0826</v>
      </c>
      <c r="B827" s="3">
        <v>46334</v>
      </c>
      <c r="C827" t="s">
        <v>90</v>
      </c>
      <c r="D827" t="s">
        <v>63</v>
      </c>
      <c r="E827" t="s">
        <v>38</v>
      </c>
      <c r="F827" t="s">
        <v>35</v>
      </c>
      <c r="G827">
        <v>4</v>
      </c>
      <c r="H827" s="10">
        <f>_xlfn.XLOOKUP(E827,Table18[Product],Table18[Unit_Price])</f>
        <v>170</v>
      </c>
      <c r="I827" s="10">
        <f>_xlfn.XLOOKUP(E827,Table18[Product],Table18[Cost_Price])</f>
        <v>85</v>
      </c>
      <c r="J827" s="10">
        <v>17</v>
      </c>
      <c r="K827" s="10">
        <f t="shared" si="37"/>
        <v>663</v>
      </c>
      <c r="L827" s="10">
        <f t="shared" si="38"/>
        <v>323</v>
      </c>
      <c r="M827" t="s">
        <v>64</v>
      </c>
      <c r="N827" t="s">
        <v>54</v>
      </c>
      <c r="O827" t="s">
        <v>71</v>
      </c>
      <c r="P827">
        <v>4</v>
      </c>
    </row>
    <row r="828" spans="1:16" x14ac:dyDescent="0.25">
      <c r="A828" t="str">
        <f t="shared" si="36"/>
        <v>ORD0827</v>
      </c>
      <c r="B828" s="3">
        <v>46048</v>
      </c>
      <c r="C828" t="s">
        <v>85</v>
      </c>
      <c r="D828" t="s">
        <v>68</v>
      </c>
      <c r="E828" t="s">
        <v>24</v>
      </c>
      <c r="F828" t="s">
        <v>23</v>
      </c>
      <c r="G828">
        <v>2</v>
      </c>
      <c r="H828" s="10">
        <f>_xlfn.XLOOKUP(E828,Table18[Product],Table18[Unit_Price])</f>
        <v>210</v>
      </c>
      <c r="I828" s="10">
        <f>_xlfn.XLOOKUP(E828,Table18[Product],Table18[Cost_Price])</f>
        <v>105</v>
      </c>
      <c r="J828" s="10">
        <v>44</v>
      </c>
      <c r="K828" s="10">
        <f t="shared" si="37"/>
        <v>376</v>
      </c>
      <c r="L828" s="10">
        <f t="shared" si="38"/>
        <v>166</v>
      </c>
      <c r="M828" t="s">
        <v>53</v>
      </c>
      <c r="N828" t="s">
        <v>50</v>
      </c>
      <c r="O828" t="s">
        <v>65</v>
      </c>
      <c r="P828">
        <v>3</v>
      </c>
    </row>
    <row r="829" spans="1:16" x14ac:dyDescent="0.25">
      <c r="A829" t="str">
        <f t="shared" si="36"/>
        <v>ORD0828</v>
      </c>
      <c r="B829" s="3">
        <v>46222</v>
      </c>
      <c r="C829" t="s">
        <v>83</v>
      </c>
      <c r="D829" t="s">
        <v>48</v>
      </c>
      <c r="E829" t="s">
        <v>34</v>
      </c>
      <c r="F829" t="s">
        <v>35</v>
      </c>
      <c r="G829">
        <v>2</v>
      </c>
      <c r="H829" s="10">
        <f>_xlfn.XLOOKUP(E829,Table18[Product],Table18[Unit_Price])</f>
        <v>180</v>
      </c>
      <c r="I829" s="10">
        <f>_xlfn.XLOOKUP(E829,Table18[Product],Table18[Cost_Price])</f>
        <v>90</v>
      </c>
      <c r="J829" s="10">
        <v>26</v>
      </c>
      <c r="K829" s="10">
        <f t="shared" si="37"/>
        <v>334</v>
      </c>
      <c r="L829" s="10">
        <f t="shared" si="38"/>
        <v>154</v>
      </c>
      <c r="M829" t="s">
        <v>49</v>
      </c>
      <c r="N829" t="s">
        <v>58</v>
      </c>
      <c r="O829" t="s">
        <v>69</v>
      </c>
      <c r="P829">
        <v>4</v>
      </c>
    </row>
    <row r="830" spans="1:16" x14ac:dyDescent="0.25">
      <c r="A830" t="str">
        <f t="shared" si="36"/>
        <v>ORD0829</v>
      </c>
      <c r="B830" s="3">
        <v>46062</v>
      </c>
      <c r="C830" t="s">
        <v>78</v>
      </c>
      <c r="D830" t="s">
        <v>66</v>
      </c>
      <c r="E830" t="s">
        <v>32</v>
      </c>
      <c r="F830" t="s">
        <v>31</v>
      </c>
      <c r="G830">
        <v>2</v>
      </c>
      <c r="H830" s="10">
        <f>_xlfn.XLOOKUP(E830,Table18[Product],Table18[Unit_Price])</f>
        <v>130</v>
      </c>
      <c r="I830" s="10">
        <f>_xlfn.XLOOKUP(E830,Table18[Product],Table18[Cost_Price])</f>
        <v>65</v>
      </c>
      <c r="J830" s="10">
        <v>17</v>
      </c>
      <c r="K830" s="10">
        <f t="shared" si="37"/>
        <v>243</v>
      </c>
      <c r="L830" s="10">
        <f t="shared" si="38"/>
        <v>113</v>
      </c>
      <c r="M830" t="s">
        <v>61</v>
      </c>
      <c r="N830" t="s">
        <v>54</v>
      </c>
      <c r="O830" t="s">
        <v>69</v>
      </c>
      <c r="P830">
        <v>3</v>
      </c>
    </row>
    <row r="831" spans="1:16" x14ac:dyDescent="0.25">
      <c r="A831" t="str">
        <f t="shared" si="36"/>
        <v>ORD0830</v>
      </c>
      <c r="B831" s="3">
        <v>46253</v>
      </c>
      <c r="C831" t="s">
        <v>76</v>
      </c>
      <c r="D831" t="s">
        <v>72</v>
      </c>
      <c r="E831" t="s">
        <v>27</v>
      </c>
      <c r="F831" t="s">
        <v>28</v>
      </c>
      <c r="G831">
        <v>5</v>
      </c>
      <c r="H831" s="10">
        <f>_xlfn.XLOOKUP(E831,Table18[Product],Table18[Unit_Price])</f>
        <v>140</v>
      </c>
      <c r="I831" s="10">
        <f>_xlfn.XLOOKUP(E831,Table18[Product],Table18[Cost_Price])</f>
        <v>70</v>
      </c>
      <c r="J831" s="10">
        <v>17</v>
      </c>
      <c r="K831" s="10">
        <f t="shared" si="37"/>
        <v>683</v>
      </c>
      <c r="L831" s="10">
        <f t="shared" si="38"/>
        <v>333</v>
      </c>
      <c r="M831" t="s">
        <v>49</v>
      </c>
      <c r="N831" t="s">
        <v>58</v>
      </c>
      <c r="O831" t="s">
        <v>59</v>
      </c>
      <c r="P831">
        <v>4</v>
      </c>
    </row>
    <row r="832" spans="1:16" x14ac:dyDescent="0.25">
      <c r="A832" t="str">
        <f t="shared" si="36"/>
        <v>ORD0831</v>
      </c>
      <c r="B832" s="3">
        <v>46230</v>
      </c>
      <c r="C832" t="s">
        <v>87</v>
      </c>
      <c r="D832" t="s">
        <v>63</v>
      </c>
      <c r="E832" t="s">
        <v>21</v>
      </c>
      <c r="F832" t="s">
        <v>17</v>
      </c>
      <c r="G832">
        <v>1</v>
      </c>
      <c r="H832" s="10">
        <f>_xlfn.XLOOKUP(E832,Table18[Product],Table18[Unit_Price])</f>
        <v>220</v>
      </c>
      <c r="I832" s="10">
        <f>_xlfn.XLOOKUP(E832,Table18[Product],Table18[Cost_Price])</f>
        <v>110</v>
      </c>
      <c r="J832" s="10">
        <v>19</v>
      </c>
      <c r="K832" s="10">
        <f t="shared" si="37"/>
        <v>201</v>
      </c>
      <c r="L832" s="10">
        <f t="shared" si="38"/>
        <v>91</v>
      </c>
      <c r="M832" t="s">
        <v>64</v>
      </c>
      <c r="N832" t="s">
        <v>50</v>
      </c>
      <c r="O832" t="s">
        <v>55</v>
      </c>
      <c r="P832">
        <v>4</v>
      </c>
    </row>
    <row r="833" spans="1:16" x14ac:dyDescent="0.25">
      <c r="A833" t="str">
        <f t="shared" si="36"/>
        <v>ORD0832</v>
      </c>
      <c r="B833" s="3">
        <v>46126</v>
      </c>
      <c r="C833" t="s">
        <v>102</v>
      </c>
      <c r="D833" t="s">
        <v>68</v>
      </c>
      <c r="E833" t="s">
        <v>25</v>
      </c>
      <c r="F833" t="s">
        <v>26</v>
      </c>
      <c r="G833">
        <v>2</v>
      </c>
      <c r="H833" s="10">
        <f>_xlfn.XLOOKUP(E833,Table18[Product],Table18[Unit_Price])</f>
        <v>170</v>
      </c>
      <c r="I833" s="10">
        <f>_xlfn.XLOOKUP(E833,Table18[Product],Table18[Cost_Price])</f>
        <v>85</v>
      </c>
      <c r="J833" s="10">
        <v>16</v>
      </c>
      <c r="K833" s="10">
        <f t="shared" si="37"/>
        <v>324</v>
      </c>
      <c r="L833" s="10">
        <f t="shared" si="38"/>
        <v>154</v>
      </c>
      <c r="M833" t="s">
        <v>49</v>
      </c>
      <c r="N833" t="s">
        <v>54</v>
      </c>
      <c r="O833" t="s">
        <v>62</v>
      </c>
      <c r="P833">
        <v>3</v>
      </c>
    </row>
    <row r="834" spans="1:16" x14ac:dyDescent="0.25">
      <c r="A834" t="str">
        <f t="shared" si="36"/>
        <v>ORD0833</v>
      </c>
      <c r="B834" s="3">
        <v>46086</v>
      </c>
      <c r="C834" t="s">
        <v>104</v>
      </c>
      <c r="D834" t="s">
        <v>48</v>
      </c>
      <c r="E834" t="s">
        <v>25</v>
      </c>
      <c r="F834" t="s">
        <v>26</v>
      </c>
      <c r="G834">
        <v>2</v>
      </c>
      <c r="H834" s="10">
        <f>_xlfn.XLOOKUP(E834,Table18[Product],Table18[Unit_Price])</f>
        <v>170</v>
      </c>
      <c r="I834" s="10">
        <f>_xlfn.XLOOKUP(E834,Table18[Product],Table18[Cost_Price])</f>
        <v>85</v>
      </c>
      <c r="J834" s="10">
        <v>31</v>
      </c>
      <c r="K834" s="10">
        <f t="shared" si="37"/>
        <v>309</v>
      </c>
      <c r="L834" s="10">
        <f t="shared" si="38"/>
        <v>139</v>
      </c>
      <c r="M834" t="s">
        <v>53</v>
      </c>
      <c r="N834" t="s">
        <v>50</v>
      </c>
      <c r="O834" t="s">
        <v>59</v>
      </c>
      <c r="P834">
        <v>4</v>
      </c>
    </row>
    <row r="835" spans="1:16" x14ac:dyDescent="0.25">
      <c r="A835" t="str">
        <f t="shared" ref="A835:A898" si="39">"ORD"&amp;TEXT(ROW()-1,"0000")</f>
        <v>ORD0834</v>
      </c>
      <c r="B835" s="3">
        <v>46240</v>
      </c>
      <c r="C835" t="s">
        <v>79</v>
      </c>
      <c r="D835" t="s">
        <v>66</v>
      </c>
      <c r="E835" t="s">
        <v>30</v>
      </c>
      <c r="F835" t="s">
        <v>31</v>
      </c>
      <c r="G835">
        <v>1</v>
      </c>
      <c r="H835" s="10">
        <f>_xlfn.XLOOKUP(E835,Table18[Product],Table18[Unit_Price])</f>
        <v>110</v>
      </c>
      <c r="I835" s="10">
        <f>_xlfn.XLOOKUP(E835,Table18[Product],Table18[Cost_Price])</f>
        <v>55</v>
      </c>
      <c r="J835" s="10">
        <v>36</v>
      </c>
      <c r="K835" s="10">
        <f t="shared" ref="K835:K898" si="40">(G835*H835)-J835</f>
        <v>74</v>
      </c>
      <c r="L835" s="10">
        <f t="shared" ref="L835:L898" si="41">K835-(G835*I835)</f>
        <v>19</v>
      </c>
      <c r="M835" t="s">
        <v>61</v>
      </c>
      <c r="N835" t="s">
        <v>50</v>
      </c>
      <c r="O835" t="s">
        <v>65</v>
      </c>
      <c r="P835">
        <v>4</v>
      </c>
    </row>
    <row r="836" spans="1:16" x14ac:dyDescent="0.25">
      <c r="A836" t="str">
        <f t="shared" si="39"/>
        <v>ORD0835</v>
      </c>
      <c r="B836" s="3">
        <v>46160</v>
      </c>
      <c r="C836" t="s">
        <v>87</v>
      </c>
      <c r="D836" t="s">
        <v>70</v>
      </c>
      <c r="E836" t="s">
        <v>19</v>
      </c>
      <c r="F836" t="s">
        <v>17</v>
      </c>
      <c r="G836">
        <v>1</v>
      </c>
      <c r="H836" s="10">
        <f>_xlfn.XLOOKUP(E836,Table18[Product],Table18[Unit_Price])</f>
        <v>200</v>
      </c>
      <c r="I836" s="10">
        <f>_xlfn.XLOOKUP(E836,Table18[Product],Table18[Cost_Price])</f>
        <v>100</v>
      </c>
      <c r="J836" s="10">
        <v>35</v>
      </c>
      <c r="K836" s="10">
        <f t="shared" si="40"/>
        <v>165</v>
      </c>
      <c r="L836" s="10">
        <f t="shared" si="41"/>
        <v>65</v>
      </c>
      <c r="M836" t="s">
        <v>49</v>
      </c>
      <c r="N836" t="s">
        <v>54</v>
      </c>
      <c r="O836" t="s">
        <v>65</v>
      </c>
      <c r="P836">
        <v>5</v>
      </c>
    </row>
    <row r="837" spans="1:16" x14ac:dyDescent="0.25">
      <c r="A837" t="str">
        <f t="shared" si="39"/>
        <v>ORD0836</v>
      </c>
      <c r="B837" s="3">
        <v>46077</v>
      </c>
      <c r="C837" t="s">
        <v>77</v>
      </c>
      <c r="D837" t="s">
        <v>70</v>
      </c>
      <c r="E837" t="s">
        <v>19</v>
      </c>
      <c r="F837" t="s">
        <v>17</v>
      </c>
      <c r="G837">
        <v>1</v>
      </c>
      <c r="H837" s="10">
        <f>_xlfn.XLOOKUP(E837,Table18[Product],Table18[Unit_Price])</f>
        <v>200</v>
      </c>
      <c r="I837" s="10">
        <f>_xlfn.XLOOKUP(E837,Table18[Product],Table18[Cost_Price])</f>
        <v>100</v>
      </c>
      <c r="J837" s="10">
        <v>44</v>
      </c>
      <c r="K837" s="10">
        <f t="shared" si="40"/>
        <v>156</v>
      </c>
      <c r="L837" s="10">
        <f t="shared" si="41"/>
        <v>56</v>
      </c>
      <c r="M837" t="s">
        <v>49</v>
      </c>
      <c r="N837" t="s">
        <v>58</v>
      </c>
      <c r="O837" t="s">
        <v>69</v>
      </c>
      <c r="P837">
        <v>4</v>
      </c>
    </row>
    <row r="838" spans="1:16" x14ac:dyDescent="0.25">
      <c r="A838" t="str">
        <f t="shared" si="39"/>
        <v>ORD0837</v>
      </c>
      <c r="B838" s="3">
        <v>46261</v>
      </c>
      <c r="C838" t="s">
        <v>101</v>
      </c>
      <c r="D838" t="s">
        <v>60</v>
      </c>
      <c r="E838" t="s">
        <v>38</v>
      </c>
      <c r="F838" t="s">
        <v>35</v>
      </c>
      <c r="G838">
        <v>2</v>
      </c>
      <c r="H838" s="10">
        <f>_xlfn.XLOOKUP(E838,Table18[Product],Table18[Unit_Price])</f>
        <v>170</v>
      </c>
      <c r="I838" s="10">
        <f>_xlfn.XLOOKUP(E838,Table18[Product],Table18[Cost_Price])</f>
        <v>85</v>
      </c>
      <c r="J838" s="10">
        <v>2</v>
      </c>
      <c r="K838" s="10">
        <f t="shared" si="40"/>
        <v>338</v>
      </c>
      <c r="L838" s="10">
        <f t="shared" si="41"/>
        <v>168</v>
      </c>
      <c r="M838" t="s">
        <v>53</v>
      </c>
      <c r="N838" t="s">
        <v>54</v>
      </c>
      <c r="O838" t="s">
        <v>59</v>
      </c>
      <c r="P838">
        <v>5</v>
      </c>
    </row>
    <row r="839" spans="1:16" x14ac:dyDescent="0.25">
      <c r="A839" t="str">
        <f t="shared" si="39"/>
        <v>ORD0838</v>
      </c>
      <c r="B839" s="3">
        <v>46342</v>
      </c>
      <c r="C839" t="s">
        <v>76</v>
      </c>
      <c r="D839" t="s">
        <v>72</v>
      </c>
      <c r="E839" t="s">
        <v>33</v>
      </c>
      <c r="F839" t="s">
        <v>31</v>
      </c>
      <c r="G839">
        <v>3</v>
      </c>
      <c r="H839" s="10">
        <f>_xlfn.XLOOKUP(E839,Table18[Product],Table18[Unit_Price])</f>
        <v>150</v>
      </c>
      <c r="I839" s="10">
        <f>_xlfn.XLOOKUP(E839,Table18[Product],Table18[Cost_Price])</f>
        <v>75</v>
      </c>
      <c r="J839" s="10">
        <v>5</v>
      </c>
      <c r="K839" s="10">
        <f t="shared" si="40"/>
        <v>445</v>
      </c>
      <c r="L839" s="10">
        <f t="shared" si="41"/>
        <v>220</v>
      </c>
      <c r="M839" t="s">
        <v>53</v>
      </c>
      <c r="N839" t="s">
        <v>58</v>
      </c>
      <c r="O839" t="s">
        <v>62</v>
      </c>
      <c r="P839">
        <v>3</v>
      </c>
    </row>
    <row r="840" spans="1:16" x14ac:dyDescent="0.25">
      <c r="A840" t="str">
        <f t="shared" si="39"/>
        <v>ORD0839</v>
      </c>
      <c r="B840" s="3">
        <v>46189</v>
      </c>
      <c r="C840" t="s">
        <v>98</v>
      </c>
      <c r="D840" t="s">
        <v>48</v>
      </c>
      <c r="E840" t="s">
        <v>36</v>
      </c>
      <c r="F840" t="s">
        <v>35</v>
      </c>
      <c r="G840">
        <v>3</v>
      </c>
      <c r="H840" s="10">
        <f>_xlfn.XLOOKUP(E840,Table18[Product],Table18[Unit_Price])</f>
        <v>220</v>
      </c>
      <c r="I840" s="10">
        <f>_xlfn.XLOOKUP(E840,Table18[Product],Table18[Cost_Price])</f>
        <v>110</v>
      </c>
      <c r="J840" s="10">
        <v>2</v>
      </c>
      <c r="K840" s="10">
        <f t="shared" si="40"/>
        <v>658</v>
      </c>
      <c r="L840" s="10">
        <f t="shared" si="41"/>
        <v>328</v>
      </c>
      <c r="M840" t="s">
        <v>64</v>
      </c>
      <c r="N840" t="s">
        <v>58</v>
      </c>
      <c r="O840" t="s">
        <v>59</v>
      </c>
      <c r="P840">
        <v>4</v>
      </c>
    </row>
    <row r="841" spans="1:16" x14ac:dyDescent="0.25">
      <c r="A841" t="str">
        <f t="shared" si="39"/>
        <v>ORD0840</v>
      </c>
      <c r="B841" s="3">
        <v>46223</v>
      </c>
      <c r="C841" t="s">
        <v>94</v>
      </c>
      <c r="D841" t="s">
        <v>63</v>
      </c>
      <c r="E841" t="s">
        <v>32</v>
      </c>
      <c r="F841" t="s">
        <v>31</v>
      </c>
      <c r="G841">
        <v>2</v>
      </c>
      <c r="H841" s="10">
        <f>_xlfn.XLOOKUP(E841,Table18[Product],Table18[Unit_Price])</f>
        <v>130</v>
      </c>
      <c r="I841" s="10">
        <f>_xlfn.XLOOKUP(E841,Table18[Product],Table18[Cost_Price])</f>
        <v>65</v>
      </c>
      <c r="J841" s="10">
        <v>2</v>
      </c>
      <c r="K841" s="10">
        <f t="shared" si="40"/>
        <v>258</v>
      </c>
      <c r="L841" s="10">
        <f t="shared" si="41"/>
        <v>128</v>
      </c>
      <c r="M841" t="s">
        <v>49</v>
      </c>
      <c r="N841" t="s">
        <v>50</v>
      </c>
      <c r="O841" t="s">
        <v>67</v>
      </c>
      <c r="P841">
        <v>4</v>
      </c>
    </row>
    <row r="842" spans="1:16" x14ac:dyDescent="0.25">
      <c r="A842" t="str">
        <f t="shared" si="39"/>
        <v>ORD0841</v>
      </c>
      <c r="B842" s="3">
        <v>46131</v>
      </c>
      <c r="C842" t="s">
        <v>100</v>
      </c>
      <c r="D842" t="s">
        <v>74</v>
      </c>
      <c r="E842" t="s">
        <v>25</v>
      </c>
      <c r="F842" t="s">
        <v>26</v>
      </c>
      <c r="G842">
        <v>1</v>
      </c>
      <c r="H842" s="10">
        <f>_xlfn.XLOOKUP(E842,Table18[Product],Table18[Unit_Price])</f>
        <v>170</v>
      </c>
      <c r="I842" s="10">
        <f>_xlfn.XLOOKUP(E842,Table18[Product],Table18[Cost_Price])</f>
        <v>85</v>
      </c>
      <c r="J842" s="10">
        <v>37</v>
      </c>
      <c r="K842" s="10">
        <f t="shared" si="40"/>
        <v>133</v>
      </c>
      <c r="L842" s="10">
        <f t="shared" si="41"/>
        <v>48</v>
      </c>
      <c r="M842" t="s">
        <v>61</v>
      </c>
      <c r="N842" t="s">
        <v>54</v>
      </c>
      <c r="O842" t="s">
        <v>71</v>
      </c>
      <c r="P842">
        <v>3</v>
      </c>
    </row>
    <row r="843" spans="1:16" x14ac:dyDescent="0.25">
      <c r="A843" t="str">
        <f t="shared" si="39"/>
        <v>ORD0842</v>
      </c>
      <c r="B843" s="3">
        <v>46376</v>
      </c>
      <c r="C843" t="s">
        <v>82</v>
      </c>
      <c r="D843" t="s">
        <v>72</v>
      </c>
      <c r="E843" t="s">
        <v>20</v>
      </c>
      <c r="F843" t="s">
        <v>17</v>
      </c>
      <c r="G843">
        <v>4</v>
      </c>
      <c r="H843" s="10">
        <f>_xlfn.XLOOKUP(E843,Table18[Product],Table18[Unit_Price])</f>
        <v>150</v>
      </c>
      <c r="I843" s="10">
        <f>_xlfn.XLOOKUP(E843,Table18[Product],Table18[Cost_Price])</f>
        <v>75</v>
      </c>
      <c r="J843" s="10">
        <v>31</v>
      </c>
      <c r="K843" s="10">
        <f t="shared" si="40"/>
        <v>569</v>
      </c>
      <c r="L843" s="10">
        <f t="shared" si="41"/>
        <v>269</v>
      </c>
      <c r="M843" t="s">
        <v>53</v>
      </c>
      <c r="N843" t="s">
        <v>54</v>
      </c>
      <c r="O843" t="s">
        <v>65</v>
      </c>
      <c r="P843">
        <v>5</v>
      </c>
    </row>
    <row r="844" spans="1:16" x14ac:dyDescent="0.25">
      <c r="A844" t="str">
        <f t="shared" si="39"/>
        <v>ORD0843</v>
      </c>
      <c r="B844" s="3">
        <v>46287</v>
      </c>
      <c r="C844" t="s">
        <v>93</v>
      </c>
      <c r="D844" t="s">
        <v>60</v>
      </c>
      <c r="E844" t="s">
        <v>42</v>
      </c>
      <c r="F844" t="s">
        <v>40</v>
      </c>
      <c r="G844">
        <v>4</v>
      </c>
      <c r="H844" s="10">
        <f>_xlfn.XLOOKUP(E844,Table18[Product],Table18[Unit_Price])</f>
        <v>80</v>
      </c>
      <c r="I844" s="10">
        <f>_xlfn.XLOOKUP(E844,Table18[Product],Table18[Cost_Price])</f>
        <v>40</v>
      </c>
      <c r="J844" s="10">
        <v>43</v>
      </c>
      <c r="K844" s="10">
        <f t="shared" si="40"/>
        <v>277</v>
      </c>
      <c r="L844" s="10">
        <f t="shared" si="41"/>
        <v>117</v>
      </c>
      <c r="M844" t="s">
        <v>61</v>
      </c>
      <c r="N844" t="s">
        <v>54</v>
      </c>
      <c r="O844" t="s">
        <v>71</v>
      </c>
      <c r="P844">
        <v>3</v>
      </c>
    </row>
    <row r="845" spans="1:16" x14ac:dyDescent="0.25">
      <c r="A845" t="str">
        <f t="shared" si="39"/>
        <v>ORD0844</v>
      </c>
      <c r="B845" s="3">
        <v>46241</v>
      </c>
      <c r="C845" t="s">
        <v>76</v>
      </c>
      <c r="D845" t="s">
        <v>48</v>
      </c>
      <c r="E845" t="s">
        <v>42</v>
      </c>
      <c r="F845" t="s">
        <v>40</v>
      </c>
      <c r="G845">
        <v>2</v>
      </c>
      <c r="H845" s="10">
        <f>_xlfn.XLOOKUP(E845,Table18[Product],Table18[Unit_Price])</f>
        <v>80</v>
      </c>
      <c r="I845" s="10">
        <f>_xlfn.XLOOKUP(E845,Table18[Product],Table18[Cost_Price])</f>
        <v>40</v>
      </c>
      <c r="J845" s="10">
        <v>34</v>
      </c>
      <c r="K845" s="10">
        <f t="shared" si="40"/>
        <v>126</v>
      </c>
      <c r="L845" s="10">
        <f t="shared" si="41"/>
        <v>46</v>
      </c>
      <c r="M845" t="s">
        <v>61</v>
      </c>
      <c r="N845" t="s">
        <v>58</v>
      </c>
      <c r="O845" t="s">
        <v>55</v>
      </c>
      <c r="P845">
        <v>4</v>
      </c>
    </row>
    <row r="846" spans="1:16" x14ac:dyDescent="0.25">
      <c r="A846" t="str">
        <f t="shared" si="39"/>
        <v>ORD0845</v>
      </c>
      <c r="B846" s="3">
        <v>46193</v>
      </c>
      <c r="C846" t="s">
        <v>81</v>
      </c>
      <c r="D846" t="s">
        <v>72</v>
      </c>
      <c r="E846" t="s">
        <v>16</v>
      </c>
      <c r="F846" t="s">
        <v>17</v>
      </c>
      <c r="G846">
        <v>4</v>
      </c>
      <c r="H846" s="10">
        <f>_xlfn.XLOOKUP(E846,Table18[Product],Table18[Unit_Price])</f>
        <v>120</v>
      </c>
      <c r="I846" s="10">
        <f>_xlfn.XLOOKUP(E846,Table18[Product],Table18[Cost_Price])</f>
        <v>60</v>
      </c>
      <c r="J846" s="10">
        <v>3</v>
      </c>
      <c r="K846" s="10">
        <f t="shared" si="40"/>
        <v>477</v>
      </c>
      <c r="L846" s="10">
        <f t="shared" si="41"/>
        <v>237</v>
      </c>
      <c r="M846" t="s">
        <v>57</v>
      </c>
      <c r="N846" t="s">
        <v>54</v>
      </c>
      <c r="O846" t="s">
        <v>71</v>
      </c>
      <c r="P846">
        <v>5</v>
      </c>
    </row>
    <row r="847" spans="1:16" x14ac:dyDescent="0.25">
      <c r="A847" t="str">
        <f t="shared" si="39"/>
        <v>ORD0846</v>
      </c>
      <c r="B847" s="3">
        <v>46128</v>
      </c>
      <c r="C847" t="s">
        <v>84</v>
      </c>
      <c r="D847" t="s">
        <v>70</v>
      </c>
      <c r="E847" t="s">
        <v>42</v>
      </c>
      <c r="F847" t="s">
        <v>40</v>
      </c>
      <c r="G847">
        <v>5</v>
      </c>
      <c r="H847" s="10">
        <f>_xlfn.XLOOKUP(E847,Table18[Product],Table18[Unit_Price])</f>
        <v>80</v>
      </c>
      <c r="I847" s="10">
        <f>_xlfn.XLOOKUP(E847,Table18[Product],Table18[Cost_Price])</f>
        <v>40</v>
      </c>
      <c r="J847" s="10">
        <v>20</v>
      </c>
      <c r="K847" s="10">
        <f t="shared" si="40"/>
        <v>380</v>
      </c>
      <c r="L847" s="10">
        <f t="shared" si="41"/>
        <v>180</v>
      </c>
      <c r="M847" t="s">
        <v>64</v>
      </c>
      <c r="N847" t="s">
        <v>58</v>
      </c>
      <c r="O847" t="s">
        <v>55</v>
      </c>
      <c r="P847">
        <v>4</v>
      </c>
    </row>
    <row r="848" spans="1:16" x14ac:dyDescent="0.25">
      <c r="A848" t="str">
        <f t="shared" si="39"/>
        <v>ORD0847</v>
      </c>
      <c r="B848" s="3">
        <v>46127</v>
      </c>
      <c r="C848" t="s">
        <v>100</v>
      </c>
      <c r="D848" t="s">
        <v>74</v>
      </c>
      <c r="E848" t="s">
        <v>39</v>
      </c>
      <c r="F848" t="s">
        <v>40</v>
      </c>
      <c r="G848">
        <v>1</v>
      </c>
      <c r="H848" s="10">
        <f>_xlfn.XLOOKUP(E848,Table18[Product],Table18[Unit_Price])</f>
        <v>240</v>
      </c>
      <c r="I848" s="10">
        <f>_xlfn.XLOOKUP(E848,Table18[Product],Table18[Cost_Price])</f>
        <v>120</v>
      </c>
      <c r="J848" s="10">
        <v>48</v>
      </c>
      <c r="K848" s="10">
        <f t="shared" si="40"/>
        <v>192</v>
      </c>
      <c r="L848" s="10">
        <f t="shared" si="41"/>
        <v>72</v>
      </c>
      <c r="M848" t="s">
        <v>53</v>
      </c>
      <c r="N848" t="s">
        <v>50</v>
      </c>
      <c r="O848" t="s">
        <v>65</v>
      </c>
      <c r="P848">
        <v>4</v>
      </c>
    </row>
    <row r="849" spans="1:16" x14ac:dyDescent="0.25">
      <c r="A849" t="str">
        <f t="shared" si="39"/>
        <v>ORD0848</v>
      </c>
      <c r="B849" s="3">
        <v>46100</v>
      </c>
      <c r="C849" t="s">
        <v>76</v>
      </c>
      <c r="D849" t="s">
        <v>52</v>
      </c>
      <c r="E849" t="s">
        <v>34</v>
      </c>
      <c r="F849" t="s">
        <v>35</v>
      </c>
      <c r="G849">
        <v>5</v>
      </c>
      <c r="H849" s="10">
        <f>_xlfn.XLOOKUP(E849,Table18[Product],Table18[Unit_Price])</f>
        <v>180</v>
      </c>
      <c r="I849" s="10">
        <f>_xlfn.XLOOKUP(E849,Table18[Product],Table18[Cost_Price])</f>
        <v>90</v>
      </c>
      <c r="J849" s="10">
        <v>19</v>
      </c>
      <c r="K849" s="10">
        <f t="shared" si="40"/>
        <v>881</v>
      </c>
      <c r="L849" s="10">
        <f t="shared" si="41"/>
        <v>431</v>
      </c>
      <c r="M849" t="s">
        <v>61</v>
      </c>
      <c r="N849" t="s">
        <v>50</v>
      </c>
      <c r="O849" t="s">
        <v>62</v>
      </c>
      <c r="P849">
        <v>3</v>
      </c>
    </row>
    <row r="850" spans="1:16" x14ac:dyDescent="0.25">
      <c r="A850" t="str">
        <f t="shared" si="39"/>
        <v>ORD0849</v>
      </c>
      <c r="B850" s="3">
        <v>46364</v>
      </c>
      <c r="C850" t="s">
        <v>102</v>
      </c>
      <c r="D850" t="s">
        <v>68</v>
      </c>
      <c r="E850" t="s">
        <v>38</v>
      </c>
      <c r="F850" t="s">
        <v>35</v>
      </c>
      <c r="G850">
        <v>5</v>
      </c>
      <c r="H850" s="10">
        <f>_xlfn.XLOOKUP(E850,Table18[Product],Table18[Unit_Price])</f>
        <v>170</v>
      </c>
      <c r="I850" s="10">
        <f>_xlfn.XLOOKUP(E850,Table18[Product],Table18[Cost_Price])</f>
        <v>85</v>
      </c>
      <c r="J850" s="10">
        <v>38</v>
      </c>
      <c r="K850" s="10">
        <f t="shared" si="40"/>
        <v>812</v>
      </c>
      <c r="L850" s="10">
        <f t="shared" si="41"/>
        <v>387</v>
      </c>
      <c r="M850" t="s">
        <v>49</v>
      </c>
      <c r="N850" t="s">
        <v>50</v>
      </c>
      <c r="O850" t="s">
        <v>59</v>
      </c>
      <c r="P850">
        <v>4</v>
      </c>
    </row>
    <row r="851" spans="1:16" x14ac:dyDescent="0.25">
      <c r="A851" t="str">
        <f t="shared" si="39"/>
        <v>ORD0850</v>
      </c>
      <c r="B851" s="3">
        <v>46025</v>
      </c>
      <c r="C851" t="s">
        <v>101</v>
      </c>
      <c r="D851" t="s">
        <v>63</v>
      </c>
      <c r="E851" t="s">
        <v>42</v>
      </c>
      <c r="F851" t="s">
        <v>40</v>
      </c>
      <c r="G851">
        <v>1</v>
      </c>
      <c r="H851" s="10">
        <f>_xlfn.XLOOKUP(E851,Table18[Product],Table18[Unit_Price])</f>
        <v>80</v>
      </c>
      <c r="I851" s="10">
        <f>_xlfn.XLOOKUP(E851,Table18[Product],Table18[Cost_Price])</f>
        <v>40</v>
      </c>
      <c r="J851" s="10">
        <v>20</v>
      </c>
      <c r="K851" s="10">
        <f t="shared" si="40"/>
        <v>60</v>
      </c>
      <c r="L851" s="10">
        <f t="shared" si="41"/>
        <v>20</v>
      </c>
      <c r="M851" t="s">
        <v>49</v>
      </c>
      <c r="N851" t="s">
        <v>50</v>
      </c>
      <c r="O851" t="s">
        <v>75</v>
      </c>
      <c r="P851">
        <v>4</v>
      </c>
    </row>
    <row r="852" spans="1:16" x14ac:dyDescent="0.25">
      <c r="A852" t="str">
        <f t="shared" si="39"/>
        <v>ORD0851</v>
      </c>
      <c r="B852" s="3">
        <v>46082</v>
      </c>
      <c r="C852" t="s">
        <v>92</v>
      </c>
      <c r="D852" t="s">
        <v>52</v>
      </c>
      <c r="E852" t="s">
        <v>41</v>
      </c>
      <c r="F852" t="s">
        <v>40</v>
      </c>
      <c r="G852">
        <v>3</v>
      </c>
      <c r="H852" s="10">
        <f>_xlfn.XLOOKUP(E852,Table18[Product],Table18[Unit_Price])</f>
        <v>100</v>
      </c>
      <c r="I852" s="10">
        <f>_xlfn.XLOOKUP(E852,Table18[Product],Table18[Cost_Price])</f>
        <v>50</v>
      </c>
      <c r="J852" s="10">
        <v>47</v>
      </c>
      <c r="K852" s="10">
        <f t="shared" si="40"/>
        <v>253</v>
      </c>
      <c r="L852" s="10">
        <f t="shared" si="41"/>
        <v>103</v>
      </c>
      <c r="M852" t="s">
        <v>61</v>
      </c>
      <c r="N852" t="s">
        <v>50</v>
      </c>
      <c r="O852" t="s">
        <v>67</v>
      </c>
      <c r="P852">
        <v>4</v>
      </c>
    </row>
    <row r="853" spans="1:16" x14ac:dyDescent="0.25">
      <c r="A853" t="str">
        <f t="shared" si="39"/>
        <v>ORD0852</v>
      </c>
      <c r="B853" s="3">
        <v>46383</v>
      </c>
      <c r="C853" t="s">
        <v>97</v>
      </c>
      <c r="D853" t="s">
        <v>56</v>
      </c>
      <c r="E853" t="s">
        <v>39</v>
      </c>
      <c r="F853" t="s">
        <v>40</v>
      </c>
      <c r="G853">
        <v>1</v>
      </c>
      <c r="H853" s="10">
        <f>_xlfn.XLOOKUP(E853,Table18[Product],Table18[Unit_Price])</f>
        <v>240</v>
      </c>
      <c r="I853" s="10">
        <f>_xlfn.XLOOKUP(E853,Table18[Product],Table18[Cost_Price])</f>
        <v>120</v>
      </c>
      <c r="J853" s="10">
        <v>48</v>
      </c>
      <c r="K853" s="10">
        <f t="shared" si="40"/>
        <v>192</v>
      </c>
      <c r="L853" s="10">
        <f t="shared" si="41"/>
        <v>72</v>
      </c>
      <c r="M853" t="s">
        <v>53</v>
      </c>
      <c r="N853" t="s">
        <v>54</v>
      </c>
      <c r="O853" t="s">
        <v>71</v>
      </c>
      <c r="P853">
        <v>3</v>
      </c>
    </row>
    <row r="854" spans="1:16" x14ac:dyDescent="0.25">
      <c r="A854" t="str">
        <f t="shared" si="39"/>
        <v>ORD0853</v>
      </c>
      <c r="B854" s="3">
        <v>46192</v>
      </c>
      <c r="C854" t="s">
        <v>78</v>
      </c>
      <c r="D854" t="s">
        <v>66</v>
      </c>
      <c r="E854" t="s">
        <v>39</v>
      </c>
      <c r="F854" t="s">
        <v>40</v>
      </c>
      <c r="G854">
        <v>5</v>
      </c>
      <c r="H854" s="10">
        <f>_xlfn.XLOOKUP(E854,Table18[Product],Table18[Unit_Price])</f>
        <v>240</v>
      </c>
      <c r="I854" s="10">
        <f>_xlfn.XLOOKUP(E854,Table18[Product],Table18[Cost_Price])</f>
        <v>120</v>
      </c>
      <c r="J854" s="10">
        <v>0</v>
      </c>
      <c r="K854" s="10">
        <f t="shared" si="40"/>
        <v>1200</v>
      </c>
      <c r="L854" s="10">
        <f t="shared" si="41"/>
        <v>600</v>
      </c>
      <c r="M854" t="s">
        <v>53</v>
      </c>
      <c r="N854" t="s">
        <v>50</v>
      </c>
      <c r="O854" t="s">
        <v>51</v>
      </c>
      <c r="P854">
        <v>4</v>
      </c>
    </row>
    <row r="855" spans="1:16" x14ac:dyDescent="0.25">
      <c r="A855" t="str">
        <f t="shared" si="39"/>
        <v>ORD0854</v>
      </c>
      <c r="B855" s="3">
        <v>46257</v>
      </c>
      <c r="C855" t="s">
        <v>79</v>
      </c>
      <c r="D855" t="s">
        <v>56</v>
      </c>
      <c r="E855" t="s">
        <v>42</v>
      </c>
      <c r="F855" t="s">
        <v>40</v>
      </c>
      <c r="G855">
        <v>2</v>
      </c>
      <c r="H855" s="10">
        <f>_xlfn.XLOOKUP(E855,Table18[Product],Table18[Unit_Price])</f>
        <v>80</v>
      </c>
      <c r="I855" s="10">
        <f>_xlfn.XLOOKUP(E855,Table18[Product],Table18[Cost_Price])</f>
        <v>40</v>
      </c>
      <c r="J855" s="10">
        <v>5</v>
      </c>
      <c r="K855" s="10">
        <f t="shared" si="40"/>
        <v>155</v>
      </c>
      <c r="L855" s="10">
        <f t="shared" si="41"/>
        <v>75</v>
      </c>
      <c r="M855" t="s">
        <v>64</v>
      </c>
      <c r="N855" t="s">
        <v>58</v>
      </c>
      <c r="O855" t="s">
        <v>75</v>
      </c>
      <c r="P855">
        <v>5</v>
      </c>
    </row>
    <row r="856" spans="1:16" x14ac:dyDescent="0.25">
      <c r="A856" t="str">
        <f t="shared" si="39"/>
        <v>ORD0855</v>
      </c>
      <c r="B856" s="3">
        <v>46025</v>
      </c>
      <c r="C856" t="s">
        <v>93</v>
      </c>
      <c r="D856" t="s">
        <v>72</v>
      </c>
      <c r="E856" t="s">
        <v>30</v>
      </c>
      <c r="F856" t="s">
        <v>31</v>
      </c>
      <c r="G856">
        <v>4</v>
      </c>
      <c r="H856" s="10">
        <f>_xlfn.XLOOKUP(E856,Table18[Product],Table18[Unit_Price])</f>
        <v>110</v>
      </c>
      <c r="I856" s="10">
        <f>_xlfn.XLOOKUP(E856,Table18[Product],Table18[Cost_Price])</f>
        <v>55</v>
      </c>
      <c r="J856" s="10">
        <v>49</v>
      </c>
      <c r="K856" s="10">
        <f t="shared" si="40"/>
        <v>391</v>
      </c>
      <c r="L856" s="10">
        <f t="shared" si="41"/>
        <v>171</v>
      </c>
      <c r="M856" t="s">
        <v>57</v>
      </c>
      <c r="N856" t="s">
        <v>50</v>
      </c>
      <c r="O856" t="s">
        <v>69</v>
      </c>
      <c r="P856">
        <v>3</v>
      </c>
    </row>
    <row r="857" spans="1:16" x14ac:dyDescent="0.25">
      <c r="A857" t="str">
        <f t="shared" si="39"/>
        <v>ORD0856</v>
      </c>
      <c r="B857" s="3">
        <v>46121</v>
      </c>
      <c r="C857" t="s">
        <v>94</v>
      </c>
      <c r="D857" t="s">
        <v>74</v>
      </c>
      <c r="E857" t="s">
        <v>24</v>
      </c>
      <c r="F857" t="s">
        <v>23</v>
      </c>
      <c r="G857">
        <v>1</v>
      </c>
      <c r="H857" s="10">
        <f>_xlfn.XLOOKUP(E857,Table18[Product],Table18[Unit_Price])</f>
        <v>210</v>
      </c>
      <c r="I857" s="10">
        <f>_xlfn.XLOOKUP(E857,Table18[Product],Table18[Cost_Price])</f>
        <v>105</v>
      </c>
      <c r="J857" s="10">
        <v>28</v>
      </c>
      <c r="K857" s="10">
        <f t="shared" si="40"/>
        <v>182</v>
      </c>
      <c r="L857" s="10">
        <f t="shared" si="41"/>
        <v>77</v>
      </c>
      <c r="M857" t="s">
        <v>57</v>
      </c>
      <c r="N857" t="s">
        <v>50</v>
      </c>
      <c r="O857" t="s">
        <v>69</v>
      </c>
      <c r="P857">
        <v>3</v>
      </c>
    </row>
    <row r="858" spans="1:16" x14ac:dyDescent="0.25">
      <c r="A858" t="str">
        <f t="shared" si="39"/>
        <v>ORD0857</v>
      </c>
      <c r="B858" s="3">
        <v>46241</v>
      </c>
      <c r="C858" t="s">
        <v>83</v>
      </c>
      <c r="D858" t="s">
        <v>56</v>
      </c>
      <c r="E858" t="s">
        <v>20</v>
      </c>
      <c r="F858" t="s">
        <v>17</v>
      </c>
      <c r="G858">
        <v>3</v>
      </c>
      <c r="H858" s="10">
        <f>_xlfn.XLOOKUP(E858,Table18[Product],Table18[Unit_Price])</f>
        <v>150</v>
      </c>
      <c r="I858" s="10">
        <f>_xlfn.XLOOKUP(E858,Table18[Product],Table18[Cost_Price])</f>
        <v>75</v>
      </c>
      <c r="J858" s="10">
        <v>22</v>
      </c>
      <c r="K858" s="10">
        <f t="shared" si="40"/>
        <v>428</v>
      </c>
      <c r="L858" s="10">
        <f t="shared" si="41"/>
        <v>203</v>
      </c>
      <c r="M858" t="s">
        <v>49</v>
      </c>
      <c r="N858" t="s">
        <v>58</v>
      </c>
      <c r="O858" t="s">
        <v>62</v>
      </c>
      <c r="P858">
        <v>5</v>
      </c>
    </row>
    <row r="859" spans="1:16" x14ac:dyDescent="0.25">
      <c r="A859" t="str">
        <f t="shared" si="39"/>
        <v>ORD0858</v>
      </c>
      <c r="B859" s="3">
        <v>46270</v>
      </c>
      <c r="C859" t="s">
        <v>100</v>
      </c>
      <c r="D859" t="s">
        <v>66</v>
      </c>
      <c r="E859" t="s">
        <v>39</v>
      </c>
      <c r="F859" t="s">
        <v>40</v>
      </c>
      <c r="G859">
        <v>2</v>
      </c>
      <c r="H859" s="10">
        <f>_xlfn.XLOOKUP(E859,Table18[Product],Table18[Unit_Price])</f>
        <v>240</v>
      </c>
      <c r="I859" s="10">
        <f>_xlfn.XLOOKUP(E859,Table18[Product],Table18[Cost_Price])</f>
        <v>120</v>
      </c>
      <c r="J859" s="10">
        <v>46</v>
      </c>
      <c r="K859" s="10">
        <f t="shared" si="40"/>
        <v>434</v>
      </c>
      <c r="L859" s="10">
        <f t="shared" si="41"/>
        <v>194</v>
      </c>
      <c r="M859" t="s">
        <v>53</v>
      </c>
      <c r="N859" t="s">
        <v>58</v>
      </c>
      <c r="O859" t="s">
        <v>67</v>
      </c>
      <c r="P859">
        <v>4</v>
      </c>
    </row>
    <row r="860" spans="1:16" x14ac:dyDescent="0.25">
      <c r="A860" t="str">
        <f t="shared" si="39"/>
        <v>ORD0859</v>
      </c>
      <c r="B860" s="3">
        <v>46315</v>
      </c>
      <c r="C860" t="s">
        <v>90</v>
      </c>
      <c r="D860" t="s">
        <v>48</v>
      </c>
      <c r="E860" t="s">
        <v>20</v>
      </c>
      <c r="F860" t="s">
        <v>17</v>
      </c>
      <c r="G860">
        <v>1</v>
      </c>
      <c r="H860" s="10">
        <f>_xlfn.XLOOKUP(E860,Table18[Product],Table18[Unit_Price])</f>
        <v>150</v>
      </c>
      <c r="I860" s="10">
        <f>_xlfn.XLOOKUP(E860,Table18[Product],Table18[Cost_Price])</f>
        <v>75</v>
      </c>
      <c r="J860" s="10">
        <v>21</v>
      </c>
      <c r="K860" s="10">
        <f t="shared" si="40"/>
        <v>129</v>
      </c>
      <c r="L860" s="10">
        <f t="shared" si="41"/>
        <v>54</v>
      </c>
      <c r="M860" t="s">
        <v>53</v>
      </c>
      <c r="N860" t="s">
        <v>50</v>
      </c>
      <c r="O860" t="s">
        <v>73</v>
      </c>
      <c r="P860">
        <v>5</v>
      </c>
    </row>
    <row r="861" spans="1:16" x14ac:dyDescent="0.25">
      <c r="A861" t="str">
        <f t="shared" si="39"/>
        <v>ORD0860</v>
      </c>
      <c r="B861" s="3">
        <v>46199</v>
      </c>
      <c r="C861" t="s">
        <v>86</v>
      </c>
      <c r="D861" t="s">
        <v>66</v>
      </c>
      <c r="E861" t="s">
        <v>20</v>
      </c>
      <c r="F861" t="s">
        <v>17</v>
      </c>
      <c r="G861">
        <v>1</v>
      </c>
      <c r="H861" s="10">
        <f>_xlfn.XLOOKUP(E861,Table18[Product],Table18[Unit_Price])</f>
        <v>150</v>
      </c>
      <c r="I861" s="10">
        <f>_xlfn.XLOOKUP(E861,Table18[Product],Table18[Cost_Price])</f>
        <v>75</v>
      </c>
      <c r="J861" s="10">
        <v>38</v>
      </c>
      <c r="K861" s="10">
        <f t="shared" si="40"/>
        <v>112</v>
      </c>
      <c r="L861" s="10">
        <f t="shared" si="41"/>
        <v>37</v>
      </c>
      <c r="M861" t="s">
        <v>61</v>
      </c>
      <c r="N861" t="s">
        <v>58</v>
      </c>
      <c r="O861" t="s">
        <v>62</v>
      </c>
      <c r="P861">
        <v>5</v>
      </c>
    </row>
    <row r="862" spans="1:16" x14ac:dyDescent="0.25">
      <c r="A862" t="str">
        <f t="shared" si="39"/>
        <v>ORD0861</v>
      </c>
      <c r="B862" s="3">
        <v>46278</v>
      </c>
      <c r="C862" t="s">
        <v>92</v>
      </c>
      <c r="D862" t="s">
        <v>52</v>
      </c>
      <c r="E862" t="s">
        <v>21</v>
      </c>
      <c r="F862" t="s">
        <v>17</v>
      </c>
      <c r="G862">
        <v>4</v>
      </c>
      <c r="H862" s="10">
        <f>_xlfn.XLOOKUP(E862,Table18[Product],Table18[Unit_Price])</f>
        <v>220</v>
      </c>
      <c r="I862" s="10">
        <f>_xlfn.XLOOKUP(E862,Table18[Product],Table18[Cost_Price])</f>
        <v>110</v>
      </c>
      <c r="J862" s="10">
        <v>16</v>
      </c>
      <c r="K862" s="10">
        <f t="shared" si="40"/>
        <v>864</v>
      </c>
      <c r="L862" s="10">
        <f t="shared" si="41"/>
        <v>424</v>
      </c>
      <c r="M862" t="s">
        <v>49</v>
      </c>
      <c r="N862" t="s">
        <v>50</v>
      </c>
      <c r="O862" t="s">
        <v>59</v>
      </c>
      <c r="P862">
        <v>4</v>
      </c>
    </row>
    <row r="863" spans="1:16" x14ac:dyDescent="0.25">
      <c r="A863" t="str">
        <f t="shared" si="39"/>
        <v>ORD0862</v>
      </c>
      <c r="B863" s="3">
        <v>46237</v>
      </c>
      <c r="C863" t="s">
        <v>97</v>
      </c>
      <c r="D863" t="s">
        <v>66</v>
      </c>
      <c r="E863" t="s">
        <v>30</v>
      </c>
      <c r="F863" t="s">
        <v>31</v>
      </c>
      <c r="G863">
        <v>2</v>
      </c>
      <c r="H863" s="10">
        <f>_xlfn.XLOOKUP(E863,Table18[Product],Table18[Unit_Price])</f>
        <v>110</v>
      </c>
      <c r="I863" s="10">
        <f>_xlfn.XLOOKUP(E863,Table18[Product],Table18[Cost_Price])</f>
        <v>55</v>
      </c>
      <c r="J863" s="10">
        <v>30</v>
      </c>
      <c r="K863" s="10">
        <f t="shared" si="40"/>
        <v>190</v>
      </c>
      <c r="L863" s="10">
        <f t="shared" si="41"/>
        <v>80</v>
      </c>
      <c r="M863" t="s">
        <v>64</v>
      </c>
      <c r="N863" t="s">
        <v>54</v>
      </c>
      <c r="O863" t="s">
        <v>55</v>
      </c>
      <c r="P863">
        <v>5</v>
      </c>
    </row>
    <row r="864" spans="1:16" x14ac:dyDescent="0.25">
      <c r="A864" t="str">
        <f t="shared" si="39"/>
        <v>ORD0863</v>
      </c>
      <c r="B864" s="3">
        <v>46057</v>
      </c>
      <c r="C864" t="s">
        <v>82</v>
      </c>
      <c r="D864" t="s">
        <v>68</v>
      </c>
      <c r="E864" t="s">
        <v>42</v>
      </c>
      <c r="F864" t="s">
        <v>40</v>
      </c>
      <c r="G864">
        <v>5</v>
      </c>
      <c r="H864" s="10">
        <f>_xlfn.XLOOKUP(E864,Table18[Product],Table18[Unit_Price])</f>
        <v>80</v>
      </c>
      <c r="I864" s="10">
        <f>_xlfn.XLOOKUP(E864,Table18[Product],Table18[Cost_Price])</f>
        <v>40</v>
      </c>
      <c r="J864" s="10">
        <v>2</v>
      </c>
      <c r="K864" s="10">
        <f t="shared" si="40"/>
        <v>398</v>
      </c>
      <c r="L864" s="10">
        <f t="shared" si="41"/>
        <v>198</v>
      </c>
      <c r="M864" t="s">
        <v>53</v>
      </c>
      <c r="N864" t="s">
        <v>54</v>
      </c>
      <c r="O864" t="s">
        <v>62</v>
      </c>
      <c r="P864">
        <v>4</v>
      </c>
    </row>
    <row r="865" spans="1:16" x14ac:dyDescent="0.25">
      <c r="A865" t="str">
        <f t="shared" si="39"/>
        <v>ORD0864</v>
      </c>
      <c r="B865" s="3">
        <v>46341</v>
      </c>
      <c r="C865" t="s">
        <v>82</v>
      </c>
      <c r="D865" t="s">
        <v>68</v>
      </c>
      <c r="E865" t="s">
        <v>41</v>
      </c>
      <c r="F865" t="s">
        <v>40</v>
      </c>
      <c r="G865">
        <v>5</v>
      </c>
      <c r="H865" s="10">
        <f>_xlfn.XLOOKUP(E865,Table18[Product],Table18[Unit_Price])</f>
        <v>100</v>
      </c>
      <c r="I865" s="10">
        <f>_xlfn.XLOOKUP(E865,Table18[Product],Table18[Cost_Price])</f>
        <v>50</v>
      </c>
      <c r="J865" s="10">
        <v>26</v>
      </c>
      <c r="K865" s="10">
        <f t="shared" si="40"/>
        <v>474</v>
      </c>
      <c r="L865" s="10">
        <f t="shared" si="41"/>
        <v>224</v>
      </c>
      <c r="M865" t="s">
        <v>49</v>
      </c>
      <c r="N865" t="s">
        <v>50</v>
      </c>
      <c r="O865" t="s">
        <v>55</v>
      </c>
      <c r="P865">
        <v>5</v>
      </c>
    </row>
    <row r="866" spans="1:16" x14ac:dyDescent="0.25">
      <c r="A866" t="str">
        <f t="shared" si="39"/>
        <v>ORD0865</v>
      </c>
      <c r="B866" s="3">
        <v>46210</v>
      </c>
      <c r="C866" t="s">
        <v>91</v>
      </c>
      <c r="D866" t="s">
        <v>52</v>
      </c>
      <c r="E866" t="s">
        <v>30</v>
      </c>
      <c r="F866" t="s">
        <v>31</v>
      </c>
      <c r="G866">
        <v>2</v>
      </c>
      <c r="H866" s="10">
        <f>_xlfn.XLOOKUP(E866,Table18[Product],Table18[Unit_Price])</f>
        <v>110</v>
      </c>
      <c r="I866" s="10">
        <f>_xlfn.XLOOKUP(E866,Table18[Product],Table18[Cost_Price])</f>
        <v>55</v>
      </c>
      <c r="J866" s="10">
        <v>31</v>
      </c>
      <c r="K866" s="10">
        <f t="shared" si="40"/>
        <v>189</v>
      </c>
      <c r="L866" s="10">
        <f t="shared" si="41"/>
        <v>79</v>
      </c>
      <c r="M866" t="s">
        <v>49</v>
      </c>
      <c r="N866" t="s">
        <v>54</v>
      </c>
      <c r="O866" t="s">
        <v>59</v>
      </c>
      <c r="P866">
        <v>5</v>
      </c>
    </row>
    <row r="867" spans="1:16" x14ac:dyDescent="0.25">
      <c r="A867" t="str">
        <f t="shared" si="39"/>
        <v>ORD0866</v>
      </c>
      <c r="B867" s="3">
        <v>46029</v>
      </c>
      <c r="C867" t="s">
        <v>81</v>
      </c>
      <c r="D867" t="s">
        <v>60</v>
      </c>
      <c r="E867" t="s">
        <v>18</v>
      </c>
      <c r="F867" t="s">
        <v>17</v>
      </c>
      <c r="G867">
        <v>5</v>
      </c>
      <c r="H867" s="10">
        <f>_xlfn.XLOOKUP(E867,Table18[Product],Table18[Unit_Price])</f>
        <v>180</v>
      </c>
      <c r="I867" s="10">
        <f>_xlfn.XLOOKUP(E867,Table18[Product],Table18[Cost_Price])</f>
        <v>90</v>
      </c>
      <c r="J867" s="10">
        <v>22</v>
      </c>
      <c r="K867" s="10">
        <f t="shared" si="40"/>
        <v>878</v>
      </c>
      <c r="L867" s="10">
        <f t="shared" si="41"/>
        <v>428</v>
      </c>
      <c r="M867" t="s">
        <v>57</v>
      </c>
      <c r="N867" t="s">
        <v>50</v>
      </c>
      <c r="O867" t="s">
        <v>59</v>
      </c>
      <c r="P867">
        <v>4</v>
      </c>
    </row>
    <row r="868" spans="1:16" x14ac:dyDescent="0.25">
      <c r="A868" t="str">
        <f t="shared" si="39"/>
        <v>ORD0867</v>
      </c>
      <c r="B868" s="3">
        <v>46303</v>
      </c>
      <c r="C868" t="s">
        <v>83</v>
      </c>
      <c r="D868" t="s">
        <v>68</v>
      </c>
      <c r="E868" t="s">
        <v>25</v>
      </c>
      <c r="F868" t="s">
        <v>26</v>
      </c>
      <c r="G868">
        <v>4</v>
      </c>
      <c r="H868" s="10">
        <f>_xlfn.XLOOKUP(E868,Table18[Product],Table18[Unit_Price])</f>
        <v>170</v>
      </c>
      <c r="I868" s="10">
        <f>_xlfn.XLOOKUP(E868,Table18[Product],Table18[Cost_Price])</f>
        <v>85</v>
      </c>
      <c r="J868" s="10">
        <v>39</v>
      </c>
      <c r="K868" s="10">
        <f t="shared" si="40"/>
        <v>641</v>
      </c>
      <c r="L868" s="10">
        <f t="shared" si="41"/>
        <v>301</v>
      </c>
      <c r="M868" t="s">
        <v>64</v>
      </c>
      <c r="N868" t="s">
        <v>54</v>
      </c>
      <c r="O868" t="s">
        <v>65</v>
      </c>
      <c r="P868">
        <v>5</v>
      </c>
    </row>
    <row r="869" spans="1:16" x14ac:dyDescent="0.25">
      <c r="A869" t="str">
        <f t="shared" si="39"/>
        <v>ORD0868</v>
      </c>
      <c r="B869" s="3">
        <v>46347</v>
      </c>
      <c r="C869" t="s">
        <v>99</v>
      </c>
      <c r="D869" t="s">
        <v>52</v>
      </c>
      <c r="E869" t="s">
        <v>25</v>
      </c>
      <c r="F869" t="s">
        <v>26</v>
      </c>
      <c r="G869">
        <v>5</v>
      </c>
      <c r="H869" s="10">
        <f>_xlfn.XLOOKUP(E869,Table18[Product],Table18[Unit_Price])</f>
        <v>170</v>
      </c>
      <c r="I869" s="10">
        <f>_xlfn.XLOOKUP(E869,Table18[Product],Table18[Cost_Price])</f>
        <v>85</v>
      </c>
      <c r="J869" s="10">
        <v>21</v>
      </c>
      <c r="K869" s="10">
        <f t="shared" si="40"/>
        <v>829</v>
      </c>
      <c r="L869" s="10">
        <f t="shared" si="41"/>
        <v>404</v>
      </c>
      <c r="M869" t="s">
        <v>57</v>
      </c>
      <c r="N869" t="s">
        <v>50</v>
      </c>
      <c r="O869" t="s">
        <v>55</v>
      </c>
      <c r="P869">
        <v>5</v>
      </c>
    </row>
    <row r="870" spans="1:16" x14ac:dyDescent="0.25">
      <c r="A870" t="str">
        <f t="shared" si="39"/>
        <v>ORD0869</v>
      </c>
      <c r="B870" s="3">
        <v>46085</v>
      </c>
      <c r="C870" t="s">
        <v>78</v>
      </c>
      <c r="D870" t="s">
        <v>60</v>
      </c>
      <c r="E870" t="s">
        <v>30</v>
      </c>
      <c r="F870" t="s">
        <v>31</v>
      </c>
      <c r="G870">
        <v>3</v>
      </c>
      <c r="H870" s="10">
        <f>_xlfn.XLOOKUP(E870,Table18[Product],Table18[Unit_Price])</f>
        <v>110</v>
      </c>
      <c r="I870" s="10">
        <f>_xlfn.XLOOKUP(E870,Table18[Product],Table18[Cost_Price])</f>
        <v>55</v>
      </c>
      <c r="J870" s="10">
        <v>49</v>
      </c>
      <c r="K870" s="10">
        <f t="shared" si="40"/>
        <v>281</v>
      </c>
      <c r="L870" s="10">
        <f t="shared" si="41"/>
        <v>116</v>
      </c>
      <c r="M870" t="s">
        <v>53</v>
      </c>
      <c r="N870" t="s">
        <v>58</v>
      </c>
      <c r="O870" t="s">
        <v>55</v>
      </c>
      <c r="P870">
        <v>3</v>
      </c>
    </row>
    <row r="871" spans="1:16" x14ac:dyDescent="0.25">
      <c r="A871" t="str">
        <f t="shared" si="39"/>
        <v>ORD0870</v>
      </c>
      <c r="B871" s="3">
        <v>46199</v>
      </c>
      <c r="C871" t="s">
        <v>92</v>
      </c>
      <c r="D871" t="s">
        <v>60</v>
      </c>
      <c r="E871" t="s">
        <v>20</v>
      </c>
      <c r="F871" t="s">
        <v>17</v>
      </c>
      <c r="G871">
        <v>5</v>
      </c>
      <c r="H871" s="10">
        <f>_xlfn.XLOOKUP(E871,Table18[Product],Table18[Unit_Price])</f>
        <v>150</v>
      </c>
      <c r="I871" s="10">
        <f>_xlfn.XLOOKUP(E871,Table18[Product],Table18[Cost_Price])</f>
        <v>75</v>
      </c>
      <c r="J871" s="10">
        <v>39</v>
      </c>
      <c r="K871" s="10">
        <f t="shared" si="40"/>
        <v>711</v>
      </c>
      <c r="L871" s="10">
        <f t="shared" si="41"/>
        <v>336</v>
      </c>
      <c r="M871" t="s">
        <v>61</v>
      </c>
      <c r="N871" t="s">
        <v>58</v>
      </c>
      <c r="O871" t="s">
        <v>71</v>
      </c>
      <c r="P871">
        <v>5</v>
      </c>
    </row>
    <row r="872" spans="1:16" x14ac:dyDescent="0.25">
      <c r="A872" t="str">
        <f t="shared" si="39"/>
        <v>ORD0871</v>
      </c>
      <c r="B872" s="3">
        <v>46345</v>
      </c>
      <c r="C872" t="s">
        <v>99</v>
      </c>
      <c r="D872" t="s">
        <v>56</v>
      </c>
      <c r="E872" t="s">
        <v>27</v>
      </c>
      <c r="F872" t="s">
        <v>28</v>
      </c>
      <c r="G872">
        <v>4</v>
      </c>
      <c r="H872" s="10">
        <f>_xlfn.XLOOKUP(E872,Table18[Product],Table18[Unit_Price])</f>
        <v>140</v>
      </c>
      <c r="I872" s="10">
        <f>_xlfn.XLOOKUP(E872,Table18[Product],Table18[Cost_Price])</f>
        <v>70</v>
      </c>
      <c r="J872" s="10">
        <v>21</v>
      </c>
      <c r="K872" s="10">
        <f t="shared" si="40"/>
        <v>539</v>
      </c>
      <c r="L872" s="10">
        <f t="shared" si="41"/>
        <v>259</v>
      </c>
      <c r="M872" t="s">
        <v>57</v>
      </c>
      <c r="N872" t="s">
        <v>50</v>
      </c>
      <c r="O872" t="s">
        <v>59</v>
      </c>
      <c r="P872">
        <v>4</v>
      </c>
    </row>
    <row r="873" spans="1:16" x14ac:dyDescent="0.25">
      <c r="A873" t="str">
        <f t="shared" si="39"/>
        <v>ORD0872</v>
      </c>
      <c r="B873" s="3">
        <v>46252</v>
      </c>
      <c r="C873" t="s">
        <v>96</v>
      </c>
      <c r="D873" t="s">
        <v>48</v>
      </c>
      <c r="E873" t="s">
        <v>21</v>
      </c>
      <c r="F873" t="s">
        <v>17</v>
      </c>
      <c r="G873">
        <v>5</v>
      </c>
      <c r="H873" s="10">
        <f>_xlfn.XLOOKUP(E873,Table18[Product],Table18[Unit_Price])</f>
        <v>220</v>
      </c>
      <c r="I873" s="10">
        <f>_xlfn.XLOOKUP(E873,Table18[Product],Table18[Cost_Price])</f>
        <v>110</v>
      </c>
      <c r="J873" s="10">
        <v>48</v>
      </c>
      <c r="K873" s="10">
        <f t="shared" si="40"/>
        <v>1052</v>
      </c>
      <c r="L873" s="10">
        <f t="shared" si="41"/>
        <v>502</v>
      </c>
      <c r="M873" t="s">
        <v>53</v>
      </c>
      <c r="N873" t="s">
        <v>54</v>
      </c>
      <c r="O873" t="s">
        <v>69</v>
      </c>
      <c r="P873">
        <v>4</v>
      </c>
    </row>
    <row r="874" spans="1:16" x14ac:dyDescent="0.25">
      <c r="A874" t="str">
        <f t="shared" si="39"/>
        <v>ORD0873</v>
      </c>
      <c r="B874" s="3">
        <v>46135</v>
      </c>
      <c r="C874" t="s">
        <v>89</v>
      </c>
      <c r="D874" t="s">
        <v>66</v>
      </c>
      <c r="E874" t="s">
        <v>30</v>
      </c>
      <c r="F874" t="s">
        <v>31</v>
      </c>
      <c r="G874">
        <v>5</v>
      </c>
      <c r="H874" s="10">
        <f>_xlfn.XLOOKUP(E874,Table18[Product],Table18[Unit_Price])</f>
        <v>110</v>
      </c>
      <c r="I874" s="10">
        <f>_xlfn.XLOOKUP(E874,Table18[Product],Table18[Cost_Price])</f>
        <v>55</v>
      </c>
      <c r="J874" s="10">
        <v>37</v>
      </c>
      <c r="K874" s="10">
        <f t="shared" si="40"/>
        <v>513</v>
      </c>
      <c r="L874" s="10">
        <f t="shared" si="41"/>
        <v>238</v>
      </c>
      <c r="M874" t="s">
        <v>64</v>
      </c>
      <c r="N874" t="s">
        <v>54</v>
      </c>
      <c r="O874" t="s">
        <v>73</v>
      </c>
      <c r="P874">
        <v>4</v>
      </c>
    </row>
    <row r="875" spans="1:16" x14ac:dyDescent="0.25">
      <c r="A875" t="str">
        <f t="shared" si="39"/>
        <v>ORD0874</v>
      </c>
      <c r="B875" s="3">
        <v>46081</v>
      </c>
      <c r="C875" t="s">
        <v>103</v>
      </c>
      <c r="D875" t="s">
        <v>68</v>
      </c>
      <c r="E875" t="s">
        <v>19</v>
      </c>
      <c r="F875" t="s">
        <v>17</v>
      </c>
      <c r="G875">
        <v>4</v>
      </c>
      <c r="H875" s="10">
        <f>_xlfn.XLOOKUP(E875,Table18[Product],Table18[Unit_Price])</f>
        <v>200</v>
      </c>
      <c r="I875" s="10">
        <f>_xlfn.XLOOKUP(E875,Table18[Product],Table18[Cost_Price])</f>
        <v>100</v>
      </c>
      <c r="J875" s="10">
        <v>0</v>
      </c>
      <c r="K875" s="10">
        <f t="shared" si="40"/>
        <v>800</v>
      </c>
      <c r="L875" s="10">
        <f t="shared" si="41"/>
        <v>400</v>
      </c>
      <c r="M875" t="s">
        <v>57</v>
      </c>
      <c r="N875" t="s">
        <v>50</v>
      </c>
      <c r="O875" t="s">
        <v>75</v>
      </c>
      <c r="P875">
        <v>4</v>
      </c>
    </row>
    <row r="876" spans="1:16" x14ac:dyDescent="0.25">
      <c r="A876" t="str">
        <f t="shared" si="39"/>
        <v>ORD0875</v>
      </c>
      <c r="B876" s="3">
        <v>46362</v>
      </c>
      <c r="C876" t="s">
        <v>95</v>
      </c>
      <c r="D876" t="s">
        <v>60</v>
      </c>
      <c r="E876" t="s">
        <v>24</v>
      </c>
      <c r="F876" t="s">
        <v>23</v>
      </c>
      <c r="G876">
        <v>5</v>
      </c>
      <c r="H876" s="10">
        <f>_xlfn.XLOOKUP(E876,Table18[Product],Table18[Unit_Price])</f>
        <v>210</v>
      </c>
      <c r="I876" s="10">
        <f>_xlfn.XLOOKUP(E876,Table18[Product],Table18[Cost_Price])</f>
        <v>105</v>
      </c>
      <c r="J876" s="10">
        <v>46</v>
      </c>
      <c r="K876" s="10">
        <f t="shared" si="40"/>
        <v>1004</v>
      </c>
      <c r="L876" s="10">
        <f t="shared" si="41"/>
        <v>479</v>
      </c>
      <c r="M876" t="s">
        <v>49</v>
      </c>
      <c r="N876" t="s">
        <v>58</v>
      </c>
      <c r="O876" t="s">
        <v>67</v>
      </c>
      <c r="P876">
        <v>5</v>
      </c>
    </row>
    <row r="877" spans="1:16" x14ac:dyDescent="0.25">
      <c r="A877" t="str">
        <f t="shared" si="39"/>
        <v>ORD0876</v>
      </c>
      <c r="B877" s="3">
        <v>46092</v>
      </c>
      <c r="C877" t="s">
        <v>85</v>
      </c>
      <c r="D877" t="s">
        <v>74</v>
      </c>
      <c r="E877" t="s">
        <v>39</v>
      </c>
      <c r="F877" t="s">
        <v>40</v>
      </c>
      <c r="G877">
        <v>3</v>
      </c>
      <c r="H877" s="10">
        <f>_xlfn.XLOOKUP(E877,Table18[Product],Table18[Unit_Price])</f>
        <v>240</v>
      </c>
      <c r="I877" s="10">
        <f>_xlfn.XLOOKUP(E877,Table18[Product],Table18[Cost_Price])</f>
        <v>120</v>
      </c>
      <c r="J877" s="10">
        <v>30</v>
      </c>
      <c r="K877" s="10">
        <f t="shared" si="40"/>
        <v>690</v>
      </c>
      <c r="L877" s="10">
        <f t="shared" si="41"/>
        <v>330</v>
      </c>
      <c r="M877" t="s">
        <v>64</v>
      </c>
      <c r="N877" t="s">
        <v>54</v>
      </c>
      <c r="O877" t="s">
        <v>65</v>
      </c>
      <c r="P877">
        <v>4</v>
      </c>
    </row>
    <row r="878" spans="1:16" x14ac:dyDescent="0.25">
      <c r="A878" t="str">
        <f t="shared" si="39"/>
        <v>ORD0877</v>
      </c>
      <c r="B878" s="3">
        <v>46106</v>
      </c>
      <c r="C878" t="s">
        <v>80</v>
      </c>
      <c r="D878" t="s">
        <v>48</v>
      </c>
      <c r="E878" t="s">
        <v>37</v>
      </c>
      <c r="F878" t="s">
        <v>35</v>
      </c>
      <c r="G878">
        <v>3</v>
      </c>
      <c r="H878" s="10">
        <f>_xlfn.XLOOKUP(E878,Table18[Product],Table18[Unit_Price])</f>
        <v>160</v>
      </c>
      <c r="I878" s="10">
        <f>_xlfn.XLOOKUP(E878,Table18[Product],Table18[Cost_Price])</f>
        <v>80</v>
      </c>
      <c r="J878" s="10">
        <v>40</v>
      </c>
      <c r="K878" s="10">
        <f t="shared" si="40"/>
        <v>440</v>
      </c>
      <c r="L878" s="10">
        <f t="shared" si="41"/>
        <v>200</v>
      </c>
      <c r="M878" t="s">
        <v>57</v>
      </c>
      <c r="N878" t="s">
        <v>50</v>
      </c>
      <c r="O878" t="s">
        <v>69</v>
      </c>
      <c r="P878">
        <v>3</v>
      </c>
    </row>
    <row r="879" spans="1:16" x14ac:dyDescent="0.25">
      <c r="A879" t="str">
        <f t="shared" si="39"/>
        <v>ORD0878</v>
      </c>
      <c r="B879" s="3">
        <v>46062</v>
      </c>
      <c r="C879" t="s">
        <v>96</v>
      </c>
      <c r="D879" t="s">
        <v>70</v>
      </c>
      <c r="E879" t="s">
        <v>20</v>
      </c>
      <c r="F879" t="s">
        <v>17</v>
      </c>
      <c r="G879">
        <v>3</v>
      </c>
      <c r="H879" s="10">
        <f>_xlfn.XLOOKUP(E879,Table18[Product],Table18[Unit_Price])</f>
        <v>150</v>
      </c>
      <c r="I879" s="10">
        <f>_xlfn.XLOOKUP(E879,Table18[Product],Table18[Cost_Price])</f>
        <v>75</v>
      </c>
      <c r="J879" s="10">
        <v>46</v>
      </c>
      <c r="K879" s="10">
        <f t="shared" si="40"/>
        <v>404</v>
      </c>
      <c r="L879" s="10">
        <f t="shared" si="41"/>
        <v>179</v>
      </c>
      <c r="M879" t="s">
        <v>57</v>
      </c>
      <c r="N879" t="s">
        <v>54</v>
      </c>
      <c r="O879" t="s">
        <v>75</v>
      </c>
      <c r="P879">
        <v>5</v>
      </c>
    </row>
    <row r="880" spans="1:16" x14ac:dyDescent="0.25">
      <c r="A880" t="str">
        <f t="shared" si="39"/>
        <v>ORD0879</v>
      </c>
      <c r="B880" s="3">
        <v>46029</v>
      </c>
      <c r="C880" t="s">
        <v>85</v>
      </c>
      <c r="D880" t="s">
        <v>48</v>
      </c>
      <c r="E880" t="s">
        <v>41</v>
      </c>
      <c r="F880" t="s">
        <v>40</v>
      </c>
      <c r="G880">
        <v>2</v>
      </c>
      <c r="H880" s="10">
        <f>_xlfn.XLOOKUP(E880,Table18[Product],Table18[Unit_Price])</f>
        <v>100</v>
      </c>
      <c r="I880" s="10">
        <f>_xlfn.XLOOKUP(E880,Table18[Product],Table18[Cost_Price])</f>
        <v>50</v>
      </c>
      <c r="J880" s="10">
        <v>17</v>
      </c>
      <c r="K880" s="10">
        <f t="shared" si="40"/>
        <v>183</v>
      </c>
      <c r="L880" s="10">
        <f t="shared" si="41"/>
        <v>83</v>
      </c>
      <c r="M880" t="s">
        <v>61</v>
      </c>
      <c r="N880" t="s">
        <v>50</v>
      </c>
      <c r="O880" t="s">
        <v>67</v>
      </c>
      <c r="P880">
        <v>4</v>
      </c>
    </row>
    <row r="881" spans="1:16" x14ac:dyDescent="0.25">
      <c r="A881" t="str">
        <f t="shared" si="39"/>
        <v>ORD0880</v>
      </c>
      <c r="B881" s="3">
        <v>46185</v>
      </c>
      <c r="C881" t="s">
        <v>93</v>
      </c>
      <c r="D881" t="s">
        <v>72</v>
      </c>
      <c r="E881" t="s">
        <v>39</v>
      </c>
      <c r="F881" t="s">
        <v>40</v>
      </c>
      <c r="G881">
        <v>5</v>
      </c>
      <c r="H881" s="10">
        <f>_xlfn.XLOOKUP(E881,Table18[Product],Table18[Unit_Price])</f>
        <v>240</v>
      </c>
      <c r="I881" s="10">
        <f>_xlfn.XLOOKUP(E881,Table18[Product],Table18[Cost_Price])</f>
        <v>120</v>
      </c>
      <c r="J881" s="10">
        <v>17</v>
      </c>
      <c r="K881" s="10">
        <f t="shared" si="40"/>
        <v>1183</v>
      </c>
      <c r="L881" s="10">
        <f t="shared" si="41"/>
        <v>583</v>
      </c>
      <c r="M881" t="s">
        <v>49</v>
      </c>
      <c r="N881" t="s">
        <v>54</v>
      </c>
      <c r="O881" t="s">
        <v>69</v>
      </c>
      <c r="P881">
        <v>5</v>
      </c>
    </row>
    <row r="882" spans="1:16" x14ac:dyDescent="0.25">
      <c r="A882" t="str">
        <f t="shared" si="39"/>
        <v>ORD0881</v>
      </c>
      <c r="B882" s="3">
        <v>46067</v>
      </c>
      <c r="C882" t="s">
        <v>96</v>
      </c>
      <c r="D882" t="s">
        <v>74</v>
      </c>
      <c r="E882" t="s">
        <v>22</v>
      </c>
      <c r="F882" t="s">
        <v>23</v>
      </c>
      <c r="G882">
        <v>2</v>
      </c>
      <c r="H882" s="10">
        <f>_xlfn.XLOOKUP(E882,Table18[Product],Table18[Unit_Price])</f>
        <v>190</v>
      </c>
      <c r="I882" s="10">
        <f>_xlfn.XLOOKUP(E882,Table18[Product],Table18[Cost_Price])</f>
        <v>95</v>
      </c>
      <c r="J882" s="10">
        <v>39</v>
      </c>
      <c r="K882" s="10">
        <f t="shared" si="40"/>
        <v>341</v>
      </c>
      <c r="L882" s="10">
        <f t="shared" si="41"/>
        <v>151</v>
      </c>
      <c r="M882" t="s">
        <v>64</v>
      </c>
      <c r="N882" t="s">
        <v>58</v>
      </c>
      <c r="O882" t="s">
        <v>67</v>
      </c>
      <c r="P882">
        <v>5</v>
      </c>
    </row>
    <row r="883" spans="1:16" x14ac:dyDescent="0.25">
      <c r="A883" t="str">
        <f t="shared" si="39"/>
        <v>ORD0882</v>
      </c>
      <c r="B883" s="3">
        <v>46094</v>
      </c>
      <c r="C883" t="s">
        <v>104</v>
      </c>
      <c r="D883" t="s">
        <v>74</v>
      </c>
      <c r="E883" t="s">
        <v>25</v>
      </c>
      <c r="F883" t="s">
        <v>26</v>
      </c>
      <c r="G883">
        <v>3</v>
      </c>
      <c r="H883" s="10">
        <f>_xlfn.XLOOKUP(E883,Table18[Product],Table18[Unit_Price])</f>
        <v>170</v>
      </c>
      <c r="I883" s="10">
        <f>_xlfn.XLOOKUP(E883,Table18[Product],Table18[Cost_Price])</f>
        <v>85</v>
      </c>
      <c r="J883" s="10">
        <v>15</v>
      </c>
      <c r="K883" s="10">
        <f t="shared" si="40"/>
        <v>495</v>
      </c>
      <c r="L883" s="10">
        <f t="shared" si="41"/>
        <v>240</v>
      </c>
      <c r="M883" t="s">
        <v>53</v>
      </c>
      <c r="N883" t="s">
        <v>50</v>
      </c>
      <c r="O883" t="s">
        <v>67</v>
      </c>
      <c r="P883">
        <v>5</v>
      </c>
    </row>
    <row r="884" spans="1:16" x14ac:dyDescent="0.25">
      <c r="A884" t="str">
        <f t="shared" si="39"/>
        <v>ORD0883</v>
      </c>
      <c r="B884" s="3">
        <v>46108</v>
      </c>
      <c r="C884" t="s">
        <v>86</v>
      </c>
      <c r="D884" t="s">
        <v>66</v>
      </c>
      <c r="E884" t="s">
        <v>34</v>
      </c>
      <c r="F884" t="s">
        <v>35</v>
      </c>
      <c r="G884">
        <v>1</v>
      </c>
      <c r="H884" s="10">
        <f>_xlfn.XLOOKUP(E884,Table18[Product],Table18[Unit_Price])</f>
        <v>180</v>
      </c>
      <c r="I884" s="10">
        <f>_xlfn.XLOOKUP(E884,Table18[Product],Table18[Cost_Price])</f>
        <v>90</v>
      </c>
      <c r="J884" s="10">
        <v>25</v>
      </c>
      <c r="K884" s="10">
        <f t="shared" si="40"/>
        <v>155</v>
      </c>
      <c r="L884" s="10">
        <f t="shared" si="41"/>
        <v>65</v>
      </c>
      <c r="M884" t="s">
        <v>57</v>
      </c>
      <c r="N884" t="s">
        <v>50</v>
      </c>
      <c r="O884" t="s">
        <v>62</v>
      </c>
      <c r="P884">
        <v>3</v>
      </c>
    </row>
    <row r="885" spans="1:16" x14ac:dyDescent="0.25">
      <c r="A885" t="str">
        <f t="shared" si="39"/>
        <v>ORD0884</v>
      </c>
      <c r="B885" s="3">
        <v>46290</v>
      </c>
      <c r="C885" t="s">
        <v>104</v>
      </c>
      <c r="D885" t="s">
        <v>63</v>
      </c>
      <c r="E885" t="s">
        <v>34</v>
      </c>
      <c r="F885" t="s">
        <v>35</v>
      </c>
      <c r="G885">
        <v>4</v>
      </c>
      <c r="H885" s="10">
        <f>_xlfn.XLOOKUP(E885,Table18[Product],Table18[Unit_Price])</f>
        <v>180</v>
      </c>
      <c r="I885" s="10">
        <f>_xlfn.XLOOKUP(E885,Table18[Product],Table18[Cost_Price])</f>
        <v>90</v>
      </c>
      <c r="J885" s="10">
        <v>13</v>
      </c>
      <c r="K885" s="10">
        <f t="shared" si="40"/>
        <v>707</v>
      </c>
      <c r="L885" s="10">
        <f t="shared" si="41"/>
        <v>347</v>
      </c>
      <c r="M885" t="s">
        <v>49</v>
      </c>
      <c r="N885" t="s">
        <v>50</v>
      </c>
      <c r="O885" t="s">
        <v>67</v>
      </c>
      <c r="P885">
        <v>4</v>
      </c>
    </row>
    <row r="886" spans="1:16" x14ac:dyDescent="0.25">
      <c r="A886" t="str">
        <f t="shared" si="39"/>
        <v>ORD0885</v>
      </c>
      <c r="B886" s="3">
        <v>46288</v>
      </c>
      <c r="C886" t="s">
        <v>84</v>
      </c>
      <c r="D886" t="s">
        <v>74</v>
      </c>
      <c r="E886" t="s">
        <v>18</v>
      </c>
      <c r="F886" t="s">
        <v>17</v>
      </c>
      <c r="G886">
        <v>4</v>
      </c>
      <c r="H886" s="10">
        <f>_xlfn.XLOOKUP(E886,Table18[Product],Table18[Unit_Price])</f>
        <v>180</v>
      </c>
      <c r="I886" s="10">
        <f>_xlfn.XLOOKUP(E886,Table18[Product],Table18[Cost_Price])</f>
        <v>90</v>
      </c>
      <c r="J886" s="10">
        <v>9</v>
      </c>
      <c r="K886" s="10">
        <f t="shared" si="40"/>
        <v>711</v>
      </c>
      <c r="L886" s="10">
        <f t="shared" si="41"/>
        <v>351</v>
      </c>
      <c r="M886" t="s">
        <v>53</v>
      </c>
      <c r="N886" t="s">
        <v>54</v>
      </c>
      <c r="O886" t="s">
        <v>73</v>
      </c>
      <c r="P886">
        <v>5</v>
      </c>
    </row>
    <row r="887" spans="1:16" x14ac:dyDescent="0.25">
      <c r="A887" t="str">
        <f t="shared" si="39"/>
        <v>ORD0886</v>
      </c>
      <c r="B887" s="3">
        <v>46163</v>
      </c>
      <c r="C887" t="s">
        <v>83</v>
      </c>
      <c r="D887" t="s">
        <v>52</v>
      </c>
      <c r="E887" t="s">
        <v>24</v>
      </c>
      <c r="F887" t="s">
        <v>23</v>
      </c>
      <c r="G887">
        <v>5</v>
      </c>
      <c r="H887" s="10">
        <f>_xlfn.XLOOKUP(E887,Table18[Product],Table18[Unit_Price])</f>
        <v>210</v>
      </c>
      <c r="I887" s="10">
        <f>_xlfn.XLOOKUP(E887,Table18[Product],Table18[Cost_Price])</f>
        <v>105</v>
      </c>
      <c r="J887" s="10">
        <v>25</v>
      </c>
      <c r="K887" s="10">
        <f t="shared" si="40"/>
        <v>1025</v>
      </c>
      <c r="L887" s="10">
        <f t="shared" si="41"/>
        <v>500</v>
      </c>
      <c r="M887" t="s">
        <v>64</v>
      </c>
      <c r="N887" t="s">
        <v>50</v>
      </c>
      <c r="O887" t="s">
        <v>51</v>
      </c>
      <c r="P887">
        <v>5</v>
      </c>
    </row>
    <row r="888" spans="1:16" x14ac:dyDescent="0.25">
      <c r="A888" t="str">
        <f t="shared" si="39"/>
        <v>ORD0887</v>
      </c>
      <c r="B888" s="3">
        <v>46376</v>
      </c>
      <c r="C888" t="s">
        <v>89</v>
      </c>
      <c r="D888" t="s">
        <v>63</v>
      </c>
      <c r="E888" t="s">
        <v>24</v>
      </c>
      <c r="F888" t="s">
        <v>23</v>
      </c>
      <c r="G888">
        <v>3</v>
      </c>
      <c r="H888" s="10">
        <f>_xlfn.XLOOKUP(E888,Table18[Product],Table18[Unit_Price])</f>
        <v>210</v>
      </c>
      <c r="I888" s="10">
        <f>_xlfn.XLOOKUP(E888,Table18[Product],Table18[Cost_Price])</f>
        <v>105</v>
      </c>
      <c r="J888" s="10">
        <v>18</v>
      </c>
      <c r="K888" s="10">
        <f t="shared" si="40"/>
        <v>612</v>
      </c>
      <c r="L888" s="10">
        <f t="shared" si="41"/>
        <v>297</v>
      </c>
      <c r="M888" t="s">
        <v>61</v>
      </c>
      <c r="N888" t="s">
        <v>54</v>
      </c>
      <c r="O888" t="s">
        <v>62</v>
      </c>
      <c r="P888">
        <v>4</v>
      </c>
    </row>
    <row r="889" spans="1:16" x14ac:dyDescent="0.25">
      <c r="A889" t="str">
        <f t="shared" si="39"/>
        <v>ORD0888</v>
      </c>
      <c r="B889" s="3">
        <v>46257</v>
      </c>
      <c r="C889" t="s">
        <v>91</v>
      </c>
      <c r="D889" t="s">
        <v>68</v>
      </c>
      <c r="E889" t="s">
        <v>24</v>
      </c>
      <c r="F889" t="s">
        <v>23</v>
      </c>
      <c r="G889">
        <v>2</v>
      </c>
      <c r="H889" s="10">
        <f>_xlfn.XLOOKUP(E889,Table18[Product],Table18[Unit_Price])</f>
        <v>210</v>
      </c>
      <c r="I889" s="10">
        <f>_xlfn.XLOOKUP(E889,Table18[Product],Table18[Cost_Price])</f>
        <v>105</v>
      </c>
      <c r="J889" s="10">
        <v>5</v>
      </c>
      <c r="K889" s="10">
        <f t="shared" si="40"/>
        <v>415</v>
      </c>
      <c r="L889" s="10">
        <f t="shared" si="41"/>
        <v>205</v>
      </c>
      <c r="M889" t="s">
        <v>64</v>
      </c>
      <c r="N889" t="s">
        <v>50</v>
      </c>
      <c r="O889" t="s">
        <v>59</v>
      </c>
      <c r="P889">
        <v>4</v>
      </c>
    </row>
    <row r="890" spans="1:16" x14ac:dyDescent="0.25">
      <c r="A890" t="str">
        <f t="shared" si="39"/>
        <v>ORD0889</v>
      </c>
      <c r="B890" s="3">
        <v>46360</v>
      </c>
      <c r="C890" t="s">
        <v>77</v>
      </c>
      <c r="D890" t="s">
        <v>74</v>
      </c>
      <c r="E890" t="s">
        <v>21</v>
      </c>
      <c r="F890" t="s">
        <v>17</v>
      </c>
      <c r="G890">
        <v>3</v>
      </c>
      <c r="H890" s="10">
        <f>_xlfn.XLOOKUP(E890,Table18[Product],Table18[Unit_Price])</f>
        <v>220</v>
      </c>
      <c r="I890" s="10">
        <f>_xlfn.XLOOKUP(E890,Table18[Product],Table18[Cost_Price])</f>
        <v>110</v>
      </c>
      <c r="J890" s="10">
        <v>34</v>
      </c>
      <c r="K890" s="10">
        <f t="shared" si="40"/>
        <v>626</v>
      </c>
      <c r="L890" s="10">
        <f t="shared" si="41"/>
        <v>296</v>
      </c>
      <c r="M890" t="s">
        <v>53</v>
      </c>
      <c r="N890" t="s">
        <v>54</v>
      </c>
      <c r="O890" t="s">
        <v>67</v>
      </c>
      <c r="P890">
        <v>5</v>
      </c>
    </row>
    <row r="891" spans="1:16" x14ac:dyDescent="0.25">
      <c r="A891" t="str">
        <f t="shared" si="39"/>
        <v>ORD0890</v>
      </c>
      <c r="B891" s="3">
        <v>46170</v>
      </c>
      <c r="C891" t="s">
        <v>97</v>
      </c>
      <c r="D891" t="s">
        <v>72</v>
      </c>
      <c r="E891" t="s">
        <v>27</v>
      </c>
      <c r="F891" t="s">
        <v>28</v>
      </c>
      <c r="G891">
        <v>4</v>
      </c>
      <c r="H891" s="10">
        <f>_xlfn.XLOOKUP(E891,Table18[Product],Table18[Unit_Price])</f>
        <v>140</v>
      </c>
      <c r="I891" s="10">
        <f>_xlfn.XLOOKUP(E891,Table18[Product],Table18[Cost_Price])</f>
        <v>70</v>
      </c>
      <c r="J891" s="10">
        <v>41</v>
      </c>
      <c r="K891" s="10">
        <f t="shared" si="40"/>
        <v>519</v>
      </c>
      <c r="L891" s="10">
        <f t="shared" si="41"/>
        <v>239</v>
      </c>
      <c r="M891" t="s">
        <v>49</v>
      </c>
      <c r="N891" t="s">
        <v>54</v>
      </c>
      <c r="O891" t="s">
        <v>51</v>
      </c>
      <c r="P891">
        <v>4</v>
      </c>
    </row>
    <row r="892" spans="1:16" x14ac:dyDescent="0.25">
      <c r="A892" t="str">
        <f t="shared" si="39"/>
        <v>ORD0891</v>
      </c>
      <c r="B892" s="3">
        <v>46338</v>
      </c>
      <c r="C892" t="s">
        <v>79</v>
      </c>
      <c r="D892" t="s">
        <v>60</v>
      </c>
      <c r="E892" t="s">
        <v>27</v>
      </c>
      <c r="F892" t="s">
        <v>28</v>
      </c>
      <c r="G892">
        <v>2</v>
      </c>
      <c r="H892" s="10">
        <f>_xlfn.XLOOKUP(E892,Table18[Product],Table18[Unit_Price])</f>
        <v>140</v>
      </c>
      <c r="I892" s="10">
        <f>_xlfn.XLOOKUP(E892,Table18[Product],Table18[Cost_Price])</f>
        <v>70</v>
      </c>
      <c r="J892" s="10">
        <v>47</v>
      </c>
      <c r="K892" s="10">
        <f t="shared" si="40"/>
        <v>233</v>
      </c>
      <c r="L892" s="10">
        <f t="shared" si="41"/>
        <v>93</v>
      </c>
      <c r="M892" t="s">
        <v>49</v>
      </c>
      <c r="N892" t="s">
        <v>50</v>
      </c>
      <c r="O892" t="s">
        <v>51</v>
      </c>
      <c r="P892">
        <v>3</v>
      </c>
    </row>
    <row r="893" spans="1:16" x14ac:dyDescent="0.25">
      <c r="A893" t="str">
        <f t="shared" si="39"/>
        <v>ORD0892</v>
      </c>
      <c r="B893" s="3">
        <v>46286</v>
      </c>
      <c r="C893" t="s">
        <v>88</v>
      </c>
      <c r="D893" t="s">
        <v>66</v>
      </c>
      <c r="E893" t="s">
        <v>41</v>
      </c>
      <c r="F893" t="s">
        <v>40</v>
      </c>
      <c r="G893">
        <v>4</v>
      </c>
      <c r="H893" s="10">
        <f>_xlfn.XLOOKUP(E893,Table18[Product],Table18[Unit_Price])</f>
        <v>100</v>
      </c>
      <c r="I893" s="10">
        <f>_xlfn.XLOOKUP(E893,Table18[Product],Table18[Cost_Price])</f>
        <v>50</v>
      </c>
      <c r="J893" s="10">
        <v>13</v>
      </c>
      <c r="K893" s="10">
        <f t="shared" si="40"/>
        <v>387</v>
      </c>
      <c r="L893" s="10">
        <f t="shared" si="41"/>
        <v>187</v>
      </c>
      <c r="M893" t="s">
        <v>57</v>
      </c>
      <c r="N893" t="s">
        <v>58</v>
      </c>
      <c r="O893" t="s">
        <v>69</v>
      </c>
      <c r="P893">
        <v>5</v>
      </c>
    </row>
    <row r="894" spans="1:16" x14ac:dyDescent="0.25">
      <c r="A894" t="str">
        <f t="shared" si="39"/>
        <v>ORD0893</v>
      </c>
      <c r="B894" s="3">
        <v>46238</v>
      </c>
      <c r="C894" t="s">
        <v>81</v>
      </c>
      <c r="D894" t="s">
        <v>52</v>
      </c>
      <c r="E894" t="s">
        <v>22</v>
      </c>
      <c r="F894" t="s">
        <v>23</v>
      </c>
      <c r="G894">
        <v>3</v>
      </c>
      <c r="H894" s="10">
        <f>_xlfn.XLOOKUP(E894,Table18[Product],Table18[Unit_Price])</f>
        <v>190</v>
      </c>
      <c r="I894" s="10">
        <f>_xlfn.XLOOKUP(E894,Table18[Product],Table18[Cost_Price])</f>
        <v>95</v>
      </c>
      <c r="J894" s="10">
        <v>49</v>
      </c>
      <c r="K894" s="10">
        <f t="shared" si="40"/>
        <v>521</v>
      </c>
      <c r="L894" s="10">
        <f t="shared" si="41"/>
        <v>236</v>
      </c>
      <c r="M894" t="s">
        <v>49</v>
      </c>
      <c r="N894" t="s">
        <v>50</v>
      </c>
      <c r="O894" t="s">
        <v>55</v>
      </c>
      <c r="P894">
        <v>4</v>
      </c>
    </row>
    <row r="895" spans="1:16" x14ac:dyDescent="0.25">
      <c r="A895" t="str">
        <f t="shared" si="39"/>
        <v>ORD0894</v>
      </c>
      <c r="B895" s="3">
        <v>46069</v>
      </c>
      <c r="C895" t="s">
        <v>95</v>
      </c>
      <c r="D895" t="s">
        <v>48</v>
      </c>
      <c r="E895" t="s">
        <v>32</v>
      </c>
      <c r="F895" t="s">
        <v>31</v>
      </c>
      <c r="G895">
        <v>3</v>
      </c>
      <c r="H895" s="10">
        <f>_xlfn.XLOOKUP(E895,Table18[Product],Table18[Unit_Price])</f>
        <v>130</v>
      </c>
      <c r="I895" s="10">
        <f>_xlfn.XLOOKUP(E895,Table18[Product],Table18[Cost_Price])</f>
        <v>65</v>
      </c>
      <c r="J895" s="10">
        <v>3</v>
      </c>
      <c r="K895" s="10">
        <f t="shared" si="40"/>
        <v>387</v>
      </c>
      <c r="L895" s="10">
        <f t="shared" si="41"/>
        <v>192</v>
      </c>
      <c r="M895" t="s">
        <v>61</v>
      </c>
      <c r="N895" t="s">
        <v>54</v>
      </c>
      <c r="O895" t="s">
        <v>55</v>
      </c>
      <c r="P895">
        <v>3</v>
      </c>
    </row>
    <row r="896" spans="1:16" x14ac:dyDescent="0.25">
      <c r="A896" t="str">
        <f t="shared" si="39"/>
        <v>ORD0895</v>
      </c>
      <c r="B896" s="3">
        <v>46034</v>
      </c>
      <c r="C896" t="s">
        <v>81</v>
      </c>
      <c r="D896" t="s">
        <v>70</v>
      </c>
      <c r="E896" t="s">
        <v>22</v>
      </c>
      <c r="F896" t="s">
        <v>23</v>
      </c>
      <c r="G896">
        <v>4</v>
      </c>
      <c r="H896" s="10">
        <f>_xlfn.XLOOKUP(E896,Table18[Product],Table18[Unit_Price])</f>
        <v>190</v>
      </c>
      <c r="I896" s="10">
        <f>_xlfn.XLOOKUP(E896,Table18[Product],Table18[Cost_Price])</f>
        <v>95</v>
      </c>
      <c r="J896" s="10">
        <v>40</v>
      </c>
      <c r="K896" s="10">
        <f t="shared" si="40"/>
        <v>720</v>
      </c>
      <c r="L896" s="10">
        <f t="shared" si="41"/>
        <v>340</v>
      </c>
      <c r="M896" t="s">
        <v>57</v>
      </c>
      <c r="N896" t="s">
        <v>50</v>
      </c>
      <c r="O896" t="s">
        <v>67</v>
      </c>
      <c r="P896">
        <v>3</v>
      </c>
    </row>
    <row r="897" spans="1:16" x14ac:dyDescent="0.25">
      <c r="A897" t="str">
        <f t="shared" si="39"/>
        <v>ORD0896</v>
      </c>
      <c r="B897" s="3">
        <v>46351</v>
      </c>
      <c r="C897" t="s">
        <v>98</v>
      </c>
      <c r="D897" t="s">
        <v>60</v>
      </c>
      <c r="E897" t="s">
        <v>18</v>
      </c>
      <c r="F897" t="s">
        <v>17</v>
      </c>
      <c r="G897">
        <v>3</v>
      </c>
      <c r="H897" s="10">
        <f>_xlfn.XLOOKUP(E897,Table18[Product],Table18[Unit_Price])</f>
        <v>180</v>
      </c>
      <c r="I897" s="10">
        <f>_xlfn.XLOOKUP(E897,Table18[Product],Table18[Cost_Price])</f>
        <v>90</v>
      </c>
      <c r="J897" s="10">
        <v>46</v>
      </c>
      <c r="K897" s="10">
        <f t="shared" si="40"/>
        <v>494</v>
      </c>
      <c r="L897" s="10">
        <f t="shared" si="41"/>
        <v>224</v>
      </c>
      <c r="M897" t="s">
        <v>61</v>
      </c>
      <c r="N897" t="s">
        <v>54</v>
      </c>
      <c r="O897" t="s">
        <v>62</v>
      </c>
      <c r="P897">
        <v>3</v>
      </c>
    </row>
    <row r="898" spans="1:16" x14ac:dyDescent="0.25">
      <c r="A898" t="str">
        <f t="shared" si="39"/>
        <v>ORD0897</v>
      </c>
      <c r="B898" s="3">
        <v>46224</v>
      </c>
      <c r="C898" t="s">
        <v>99</v>
      </c>
      <c r="D898" t="s">
        <v>52</v>
      </c>
      <c r="E898" t="s">
        <v>39</v>
      </c>
      <c r="F898" t="s">
        <v>40</v>
      </c>
      <c r="G898">
        <v>1</v>
      </c>
      <c r="H898" s="10">
        <f>_xlfn.XLOOKUP(E898,Table18[Product],Table18[Unit_Price])</f>
        <v>240</v>
      </c>
      <c r="I898" s="10">
        <f>_xlfn.XLOOKUP(E898,Table18[Product],Table18[Cost_Price])</f>
        <v>120</v>
      </c>
      <c r="J898" s="10">
        <v>27</v>
      </c>
      <c r="K898" s="10">
        <f t="shared" si="40"/>
        <v>213</v>
      </c>
      <c r="L898" s="10">
        <f t="shared" si="41"/>
        <v>93</v>
      </c>
      <c r="M898" t="s">
        <v>53</v>
      </c>
      <c r="N898" t="s">
        <v>54</v>
      </c>
      <c r="O898" t="s">
        <v>62</v>
      </c>
      <c r="P898">
        <v>4</v>
      </c>
    </row>
    <row r="899" spans="1:16" x14ac:dyDescent="0.25">
      <c r="A899" t="str">
        <f t="shared" ref="A899:A962" si="42">"ORD"&amp;TEXT(ROW()-1,"0000")</f>
        <v>ORD0898</v>
      </c>
      <c r="B899" s="3">
        <v>46243</v>
      </c>
      <c r="C899" t="s">
        <v>87</v>
      </c>
      <c r="D899" t="s">
        <v>52</v>
      </c>
      <c r="E899" t="s">
        <v>21</v>
      </c>
      <c r="F899" t="s">
        <v>17</v>
      </c>
      <c r="G899">
        <v>1</v>
      </c>
      <c r="H899" s="10">
        <f>_xlfn.XLOOKUP(E899,Table18[Product],Table18[Unit_Price])</f>
        <v>220</v>
      </c>
      <c r="I899" s="10">
        <f>_xlfn.XLOOKUP(E899,Table18[Product],Table18[Cost_Price])</f>
        <v>110</v>
      </c>
      <c r="J899" s="10">
        <v>15</v>
      </c>
      <c r="K899" s="10">
        <f t="shared" ref="K899:K962" si="43">(G899*H899)-J899</f>
        <v>205</v>
      </c>
      <c r="L899" s="10">
        <f t="shared" ref="L899:L962" si="44">K899-(G899*I899)</f>
        <v>95</v>
      </c>
      <c r="M899" t="s">
        <v>64</v>
      </c>
      <c r="N899" t="s">
        <v>54</v>
      </c>
      <c r="O899" t="s">
        <v>69</v>
      </c>
      <c r="P899">
        <v>4</v>
      </c>
    </row>
    <row r="900" spans="1:16" x14ac:dyDescent="0.25">
      <c r="A900" t="str">
        <f t="shared" si="42"/>
        <v>ORD0899</v>
      </c>
      <c r="B900" s="3">
        <v>46029</v>
      </c>
      <c r="C900" t="s">
        <v>95</v>
      </c>
      <c r="D900" t="s">
        <v>56</v>
      </c>
      <c r="E900" t="s">
        <v>22</v>
      </c>
      <c r="F900" t="s">
        <v>23</v>
      </c>
      <c r="G900">
        <v>4</v>
      </c>
      <c r="H900" s="10">
        <f>_xlfn.XLOOKUP(E900,Table18[Product],Table18[Unit_Price])</f>
        <v>190</v>
      </c>
      <c r="I900" s="10">
        <f>_xlfn.XLOOKUP(E900,Table18[Product],Table18[Cost_Price])</f>
        <v>95</v>
      </c>
      <c r="J900" s="10">
        <v>27</v>
      </c>
      <c r="K900" s="10">
        <f t="shared" si="43"/>
        <v>733</v>
      </c>
      <c r="L900" s="10">
        <f t="shared" si="44"/>
        <v>353</v>
      </c>
      <c r="M900" t="s">
        <v>57</v>
      </c>
      <c r="N900" t="s">
        <v>54</v>
      </c>
      <c r="O900" t="s">
        <v>51</v>
      </c>
      <c r="P900">
        <v>5</v>
      </c>
    </row>
    <row r="901" spans="1:16" x14ac:dyDescent="0.25">
      <c r="A901" t="str">
        <f t="shared" si="42"/>
        <v>ORD0900</v>
      </c>
      <c r="B901" s="3">
        <v>46078</v>
      </c>
      <c r="C901" t="s">
        <v>82</v>
      </c>
      <c r="D901" t="s">
        <v>70</v>
      </c>
      <c r="E901" t="s">
        <v>32</v>
      </c>
      <c r="F901" t="s">
        <v>31</v>
      </c>
      <c r="G901">
        <v>1</v>
      </c>
      <c r="H901" s="10">
        <f>_xlfn.XLOOKUP(E901,Table18[Product],Table18[Unit_Price])</f>
        <v>130</v>
      </c>
      <c r="I901" s="10">
        <f>_xlfn.XLOOKUP(E901,Table18[Product],Table18[Cost_Price])</f>
        <v>65</v>
      </c>
      <c r="J901" s="10">
        <v>42</v>
      </c>
      <c r="K901" s="10">
        <f t="shared" si="43"/>
        <v>88</v>
      </c>
      <c r="L901" s="10">
        <f t="shared" si="44"/>
        <v>23</v>
      </c>
      <c r="M901" t="s">
        <v>61</v>
      </c>
      <c r="N901" t="s">
        <v>58</v>
      </c>
      <c r="O901" t="s">
        <v>55</v>
      </c>
      <c r="P901">
        <v>4</v>
      </c>
    </row>
    <row r="902" spans="1:16" x14ac:dyDescent="0.25">
      <c r="A902" t="str">
        <f t="shared" si="42"/>
        <v>ORD0901</v>
      </c>
      <c r="B902" s="3">
        <v>46226</v>
      </c>
      <c r="C902" t="s">
        <v>105</v>
      </c>
      <c r="D902" t="s">
        <v>60</v>
      </c>
      <c r="E902" t="s">
        <v>39</v>
      </c>
      <c r="F902" t="s">
        <v>40</v>
      </c>
      <c r="G902">
        <v>1</v>
      </c>
      <c r="H902" s="10">
        <f>_xlfn.XLOOKUP(E902,Table18[Product],Table18[Unit_Price])</f>
        <v>240</v>
      </c>
      <c r="I902" s="10">
        <f>_xlfn.XLOOKUP(E902,Table18[Product],Table18[Cost_Price])</f>
        <v>120</v>
      </c>
      <c r="J902" s="10">
        <v>48</v>
      </c>
      <c r="K902" s="10">
        <f t="shared" si="43"/>
        <v>192</v>
      </c>
      <c r="L902" s="10">
        <f t="shared" si="44"/>
        <v>72</v>
      </c>
      <c r="M902" t="s">
        <v>64</v>
      </c>
      <c r="N902" t="s">
        <v>54</v>
      </c>
      <c r="O902" t="s">
        <v>59</v>
      </c>
      <c r="P902">
        <v>5</v>
      </c>
    </row>
    <row r="903" spans="1:16" x14ac:dyDescent="0.25">
      <c r="A903" t="str">
        <f t="shared" si="42"/>
        <v>ORD0902</v>
      </c>
      <c r="B903" s="3">
        <v>46175</v>
      </c>
      <c r="C903" t="s">
        <v>88</v>
      </c>
      <c r="D903" t="s">
        <v>48</v>
      </c>
      <c r="E903" t="s">
        <v>30</v>
      </c>
      <c r="F903" t="s">
        <v>31</v>
      </c>
      <c r="G903">
        <v>3</v>
      </c>
      <c r="H903" s="10">
        <f>_xlfn.XLOOKUP(E903,Table18[Product],Table18[Unit_Price])</f>
        <v>110</v>
      </c>
      <c r="I903" s="10">
        <f>_xlfn.XLOOKUP(E903,Table18[Product],Table18[Cost_Price])</f>
        <v>55</v>
      </c>
      <c r="J903" s="10">
        <v>16</v>
      </c>
      <c r="K903" s="10">
        <f t="shared" si="43"/>
        <v>314</v>
      </c>
      <c r="L903" s="10">
        <f t="shared" si="44"/>
        <v>149</v>
      </c>
      <c r="M903" t="s">
        <v>64</v>
      </c>
      <c r="N903" t="s">
        <v>58</v>
      </c>
      <c r="O903" t="s">
        <v>71</v>
      </c>
      <c r="P903">
        <v>5</v>
      </c>
    </row>
    <row r="904" spans="1:16" x14ac:dyDescent="0.25">
      <c r="A904" t="str">
        <f t="shared" si="42"/>
        <v>ORD0903</v>
      </c>
      <c r="B904" s="3">
        <v>46223</v>
      </c>
      <c r="C904" t="s">
        <v>91</v>
      </c>
      <c r="D904" t="s">
        <v>52</v>
      </c>
      <c r="E904" t="s">
        <v>34</v>
      </c>
      <c r="F904" t="s">
        <v>35</v>
      </c>
      <c r="G904">
        <v>1</v>
      </c>
      <c r="H904" s="10">
        <f>_xlfn.XLOOKUP(E904,Table18[Product],Table18[Unit_Price])</f>
        <v>180</v>
      </c>
      <c r="I904" s="10">
        <f>_xlfn.XLOOKUP(E904,Table18[Product],Table18[Cost_Price])</f>
        <v>90</v>
      </c>
      <c r="J904" s="10">
        <v>2</v>
      </c>
      <c r="K904" s="10">
        <f t="shared" si="43"/>
        <v>178</v>
      </c>
      <c r="L904" s="10">
        <f t="shared" si="44"/>
        <v>88</v>
      </c>
      <c r="M904" t="s">
        <v>57</v>
      </c>
      <c r="N904" t="s">
        <v>58</v>
      </c>
      <c r="O904" t="s">
        <v>65</v>
      </c>
      <c r="P904">
        <v>5</v>
      </c>
    </row>
    <row r="905" spans="1:16" x14ac:dyDescent="0.25">
      <c r="A905" t="str">
        <f t="shared" si="42"/>
        <v>ORD0904</v>
      </c>
      <c r="B905" s="3">
        <v>46085</v>
      </c>
      <c r="C905" t="s">
        <v>103</v>
      </c>
      <c r="D905" t="s">
        <v>60</v>
      </c>
      <c r="E905" t="s">
        <v>36</v>
      </c>
      <c r="F905" t="s">
        <v>35</v>
      </c>
      <c r="G905">
        <v>1</v>
      </c>
      <c r="H905" s="10">
        <f>_xlfn.XLOOKUP(E905,Table18[Product],Table18[Unit_Price])</f>
        <v>220</v>
      </c>
      <c r="I905" s="10">
        <f>_xlfn.XLOOKUP(E905,Table18[Product],Table18[Cost_Price])</f>
        <v>110</v>
      </c>
      <c r="J905" s="10">
        <v>50</v>
      </c>
      <c r="K905" s="10">
        <f t="shared" si="43"/>
        <v>170</v>
      </c>
      <c r="L905" s="10">
        <f t="shared" si="44"/>
        <v>60</v>
      </c>
      <c r="M905" t="s">
        <v>53</v>
      </c>
      <c r="N905" t="s">
        <v>54</v>
      </c>
      <c r="O905" t="s">
        <v>59</v>
      </c>
      <c r="P905">
        <v>4</v>
      </c>
    </row>
    <row r="906" spans="1:16" x14ac:dyDescent="0.25">
      <c r="A906" t="str">
        <f t="shared" si="42"/>
        <v>ORD0905</v>
      </c>
      <c r="B906" s="3">
        <v>46169</v>
      </c>
      <c r="C906" t="s">
        <v>104</v>
      </c>
      <c r="D906" t="s">
        <v>70</v>
      </c>
      <c r="E906" t="s">
        <v>22</v>
      </c>
      <c r="F906" t="s">
        <v>23</v>
      </c>
      <c r="G906">
        <v>2</v>
      </c>
      <c r="H906" s="10">
        <f>_xlfn.XLOOKUP(E906,Table18[Product],Table18[Unit_Price])</f>
        <v>190</v>
      </c>
      <c r="I906" s="10">
        <f>_xlfn.XLOOKUP(E906,Table18[Product],Table18[Cost_Price])</f>
        <v>95</v>
      </c>
      <c r="J906" s="10">
        <v>37</v>
      </c>
      <c r="K906" s="10">
        <f t="shared" si="43"/>
        <v>343</v>
      </c>
      <c r="L906" s="10">
        <f t="shared" si="44"/>
        <v>153</v>
      </c>
      <c r="M906" t="s">
        <v>57</v>
      </c>
      <c r="N906" t="s">
        <v>58</v>
      </c>
      <c r="O906" t="s">
        <v>73</v>
      </c>
      <c r="P906">
        <v>3</v>
      </c>
    </row>
    <row r="907" spans="1:16" x14ac:dyDescent="0.25">
      <c r="A907" t="str">
        <f t="shared" si="42"/>
        <v>ORD0906</v>
      </c>
      <c r="B907" s="3">
        <v>46253</v>
      </c>
      <c r="C907" t="s">
        <v>99</v>
      </c>
      <c r="D907" t="s">
        <v>60</v>
      </c>
      <c r="E907" t="s">
        <v>16</v>
      </c>
      <c r="F907" t="s">
        <v>17</v>
      </c>
      <c r="G907">
        <v>3</v>
      </c>
      <c r="H907" s="10">
        <f>_xlfn.XLOOKUP(E907,Table18[Product],Table18[Unit_Price])</f>
        <v>120</v>
      </c>
      <c r="I907" s="10">
        <f>_xlfn.XLOOKUP(E907,Table18[Product],Table18[Cost_Price])</f>
        <v>60</v>
      </c>
      <c r="J907" s="10">
        <v>7</v>
      </c>
      <c r="K907" s="10">
        <f t="shared" si="43"/>
        <v>353</v>
      </c>
      <c r="L907" s="10">
        <f t="shared" si="44"/>
        <v>173</v>
      </c>
      <c r="M907" t="s">
        <v>64</v>
      </c>
      <c r="N907" t="s">
        <v>50</v>
      </c>
      <c r="O907" t="s">
        <v>75</v>
      </c>
      <c r="P907">
        <v>5</v>
      </c>
    </row>
    <row r="908" spans="1:16" x14ac:dyDescent="0.25">
      <c r="A908" t="str">
        <f t="shared" si="42"/>
        <v>ORD0907</v>
      </c>
      <c r="B908" s="3">
        <v>46290</v>
      </c>
      <c r="C908" t="s">
        <v>83</v>
      </c>
      <c r="D908" t="s">
        <v>68</v>
      </c>
      <c r="E908" t="s">
        <v>32</v>
      </c>
      <c r="F908" t="s">
        <v>31</v>
      </c>
      <c r="G908">
        <v>2</v>
      </c>
      <c r="H908" s="10">
        <f>_xlfn.XLOOKUP(E908,Table18[Product],Table18[Unit_Price])</f>
        <v>130</v>
      </c>
      <c r="I908" s="10">
        <f>_xlfn.XLOOKUP(E908,Table18[Product],Table18[Cost_Price])</f>
        <v>65</v>
      </c>
      <c r="J908" s="10">
        <v>41</v>
      </c>
      <c r="K908" s="10">
        <f t="shared" si="43"/>
        <v>219</v>
      </c>
      <c r="L908" s="10">
        <f t="shared" si="44"/>
        <v>89</v>
      </c>
      <c r="M908" t="s">
        <v>64</v>
      </c>
      <c r="N908" t="s">
        <v>54</v>
      </c>
      <c r="O908" t="s">
        <v>55</v>
      </c>
      <c r="P908">
        <v>3</v>
      </c>
    </row>
    <row r="909" spans="1:16" x14ac:dyDescent="0.25">
      <c r="A909" t="str">
        <f t="shared" si="42"/>
        <v>ORD0908</v>
      </c>
      <c r="B909" s="3">
        <v>46152</v>
      </c>
      <c r="C909" t="s">
        <v>97</v>
      </c>
      <c r="D909" t="s">
        <v>52</v>
      </c>
      <c r="E909" t="s">
        <v>27</v>
      </c>
      <c r="F909" t="s">
        <v>28</v>
      </c>
      <c r="G909">
        <v>4</v>
      </c>
      <c r="H909" s="10">
        <f>_xlfn.XLOOKUP(E909,Table18[Product],Table18[Unit_Price])</f>
        <v>140</v>
      </c>
      <c r="I909" s="10">
        <f>_xlfn.XLOOKUP(E909,Table18[Product],Table18[Cost_Price])</f>
        <v>70</v>
      </c>
      <c r="J909" s="10">
        <v>7</v>
      </c>
      <c r="K909" s="10">
        <f t="shared" si="43"/>
        <v>553</v>
      </c>
      <c r="L909" s="10">
        <f t="shared" si="44"/>
        <v>273</v>
      </c>
      <c r="M909" t="s">
        <v>64</v>
      </c>
      <c r="N909" t="s">
        <v>58</v>
      </c>
      <c r="O909" t="s">
        <v>69</v>
      </c>
      <c r="P909">
        <v>5</v>
      </c>
    </row>
    <row r="910" spans="1:16" x14ac:dyDescent="0.25">
      <c r="A910" t="str">
        <f t="shared" si="42"/>
        <v>ORD0909</v>
      </c>
      <c r="B910" s="3">
        <v>46379</v>
      </c>
      <c r="C910" t="s">
        <v>79</v>
      </c>
      <c r="D910" t="s">
        <v>52</v>
      </c>
      <c r="E910" t="s">
        <v>33</v>
      </c>
      <c r="F910" t="s">
        <v>31</v>
      </c>
      <c r="G910">
        <v>2</v>
      </c>
      <c r="H910" s="10">
        <f>_xlfn.XLOOKUP(E910,Table18[Product],Table18[Unit_Price])</f>
        <v>150</v>
      </c>
      <c r="I910" s="10">
        <f>_xlfn.XLOOKUP(E910,Table18[Product],Table18[Cost_Price])</f>
        <v>75</v>
      </c>
      <c r="J910" s="10">
        <v>3</v>
      </c>
      <c r="K910" s="10">
        <f t="shared" si="43"/>
        <v>297</v>
      </c>
      <c r="L910" s="10">
        <f t="shared" si="44"/>
        <v>147</v>
      </c>
      <c r="M910" t="s">
        <v>64</v>
      </c>
      <c r="N910" t="s">
        <v>50</v>
      </c>
      <c r="O910" t="s">
        <v>55</v>
      </c>
      <c r="P910">
        <v>3</v>
      </c>
    </row>
    <row r="911" spans="1:16" x14ac:dyDescent="0.25">
      <c r="A911" t="str">
        <f t="shared" si="42"/>
        <v>ORD0910</v>
      </c>
      <c r="B911" s="3">
        <v>46367</v>
      </c>
      <c r="C911" t="s">
        <v>88</v>
      </c>
      <c r="D911" t="s">
        <v>70</v>
      </c>
      <c r="E911" t="s">
        <v>20</v>
      </c>
      <c r="F911" t="s">
        <v>17</v>
      </c>
      <c r="G911">
        <v>3</v>
      </c>
      <c r="H911" s="10">
        <f>_xlfn.XLOOKUP(E911,Table18[Product],Table18[Unit_Price])</f>
        <v>150</v>
      </c>
      <c r="I911" s="10">
        <f>_xlfn.XLOOKUP(E911,Table18[Product],Table18[Cost_Price])</f>
        <v>75</v>
      </c>
      <c r="J911" s="10">
        <v>24</v>
      </c>
      <c r="K911" s="10">
        <f t="shared" si="43"/>
        <v>426</v>
      </c>
      <c r="L911" s="10">
        <f t="shared" si="44"/>
        <v>201</v>
      </c>
      <c r="M911" t="s">
        <v>61</v>
      </c>
      <c r="N911" t="s">
        <v>50</v>
      </c>
      <c r="O911" t="s">
        <v>73</v>
      </c>
      <c r="P911">
        <v>4</v>
      </c>
    </row>
    <row r="912" spans="1:16" x14ac:dyDescent="0.25">
      <c r="A912" t="str">
        <f t="shared" si="42"/>
        <v>ORD0911</v>
      </c>
      <c r="B912" s="3">
        <v>46160</v>
      </c>
      <c r="C912" t="s">
        <v>100</v>
      </c>
      <c r="D912" t="s">
        <v>74</v>
      </c>
      <c r="E912" t="s">
        <v>24</v>
      </c>
      <c r="F912" t="s">
        <v>23</v>
      </c>
      <c r="G912">
        <v>4</v>
      </c>
      <c r="H912" s="10">
        <f>_xlfn.XLOOKUP(E912,Table18[Product],Table18[Unit_Price])</f>
        <v>210</v>
      </c>
      <c r="I912" s="10">
        <f>_xlfn.XLOOKUP(E912,Table18[Product],Table18[Cost_Price])</f>
        <v>105</v>
      </c>
      <c r="J912" s="10">
        <v>23</v>
      </c>
      <c r="K912" s="10">
        <f t="shared" si="43"/>
        <v>817</v>
      </c>
      <c r="L912" s="10">
        <f t="shared" si="44"/>
        <v>397</v>
      </c>
      <c r="M912" t="s">
        <v>64</v>
      </c>
      <c r="N912" t="s">
        <v>58</v>
      </c>
      <c r="O912" t="s">
        <v>51</v>
      </c>
      <c r="P912">
        <v>4</v>
      </c>
    </row>
    <row r="913" spans="1:16" x14ac:dyDescent="0.25">
      <c r="A913" t="str">
        <f t="shared" si="42"/>
        <v>ORD0912</v>
      </c>
      <c r="B913" s="3">
        <v>46198</v>
      </c>
      <c r="C913" t="s">
        <v>81</v>
      </c>
      <c r="D913" t="s">
        <v>56</v>
      </c>
      <c r="E913" t="s">
        <v>36</v>
      </c>
      <c r="F913" t="s">
        <v>35</v>
      </c>
      <c r="G913">
        <v>2</v>
      </c>
      <c r="H913" s="10">
        <f>_xlfn.XLOOKUP(E913,Table18[Product],Table18[Unit_Price])</f>
        <v>220</v>
      </c>
      <c r="I913" s="10">
        <f>_xlfn.XLOOKUP(E913,Table18[Product],Table18[Cost_Price])</f>
        <v>110</v>
      </c>
      <c r="J913" s="10">
        <v>26</v>
      </c>
      <c r="K913" s="10">
        <f t="shared" si="43"/>
        <v>414</v>
      </c>
      <c r="L913" s="10">
        <f t="shared" si="44"/>
        <v>194</v>
      </c>
      <c r="M913" t="s">
        <v>57</v>
      </c>
      <c r="N913" t="s">
        <v>58</v>
      </c>
      <c r="O913" t="s">
        <v>55</v>
      </c>
      <c r="P913">
        <v>4</v>
      </c>
    </row>
    <row r="914" spans="1:16" x14ac:dyDescent="0.25">
      <c r="A914" t="str">
        <f t="shared" si="42"/>
        <v>ORD0913</v>
      </c>
      <c r="B914" s="3">
        <v>46105</v>
      </c>
      <c r="C914" t="s">
        <v>101</v>
      </c>
      <c r="D914" t="s">
        <v>66</v>
      </c>
      <c r="E914" t="s">
        <v>30</v>
      </c>
      <c r="F914" t="s">
        <v>31</v>
      </c>
      <c r="G914">
        <v>2</v>
      </c>
      <c r="H914" s="10">
        <f>_xlfn.XLOOKUP(E914,Table18[Product],Table18[Unit_Price])</f>
        <v>110</v>
      </c>
      <c r="I914" s="10">
        <f>_xlfn.XLOOKUP(E914,Table18[Product],Table18[Cost_Price])</f>
        <v>55</v>
      </c>
      <c r="J914" s="10">
        <v>5</v>
      </c>
      <c r="K914" s="10">
        <f t="shared" si="43"/>
        <v>215</v>
      </c>
      <c r="L914" s="10">
        <f t="shared" si="44"/>
        <v>105</v>
      </c>
      <c r="M914" t="s">
        <v>49</v>
      </c>
      <c r="N914" t="s">
        <v>50</v>
      </c>
      <c r="O914" t="s">
        <v>75</v>
      </c>
      <c r="P914">
        <v>3</v>
      </c>
    </row>
    <row r="915" spans="1:16" x14ac:dyDescent="0.25">
      <c r="A915" t="str">
        <f t="shared" si="42"/>
        <v>ORD0914</v>
      </c>
      <c r="B915" s="3">
        <v>46122</v>
      </c>
      <c r="C915" t="s">
        <v>77</v>
      </c>
      <c r="D915" t="s">
        <v>52</v>
      </c>
      <c r="E915" t="s">
        <v>42</v>
      </c>
      <c r="F915" t="s">
        <v>40</v>
      </c>
      <c r="G915">
        <v>5</v>
      </c>
      <c r="H915" s="10">
        <f>_xlfn.XLOOKUP(E915,Table18[Product],Table18[Unit_Price])</f>
        <v>80</v>
      </c>
      <c r="I915" s="10">
        <f>_xlfn.XLOOKUP(E915,Table18[Product],Table18[Cost_Price])</f>
        <v>40</v>
      </c>
      <c r="J915" s="10">
        <v>36</v>
      </c>
      <c r="K915" s="10">
        <f t="shared" si="43"/>
        <v>364</v>
      </c>
      <c r="L915" s="10">
        <f t="shared" si="44"/>
        <v>164</v>
      </c>
      <c r="M915" t="s">
        <v>57</v>
      </c>
      <c r="N915" t="s">
        <v>58</v>
      </c>
      <c r="O915" t="s">
        <v>71</v>
      </c>
      <c r="P915">
        <v>3</v>
      </c>
    </row>
    <row r="916" spans="1:16" x14ac:dyDescent="0.25">
      <c r="A916" t="str">
        <f t="shared" si="42"/>
        <v>ORD0915</v>
      </c>
      <c r="B916" s="3">
        <v>46116</v>
      </c>
      <c r="C916" t="s">
        <v>81</v>
      </c>
      <c r="D916" t="s">
        <v>66</v>
      </c>
      <c r="E916" t="s">
        <v>42</v>
      </c>
      <c r="F916" t="s">
        <v>40</v>
      </c>
      <c r="G916">
        <v>3</v>
      </c>
      <c r="H916" s="10">
        <f>_xlfn.XLOOKUP(E916,Table18[Product],Table18[Unit_Price])</f>
        <v>80</v>
      </c>
      <c r="I916" s="10">
        <f>_xlfn.XLOOKUP(E916,Table18[Product],Table18[Cost_Price])</f>
        <v>40</v>
      </c>
      <c r="J916" s="10">
        <v>42</v>
      </c>
      <c r="K916" s="10">
        <f t="shared" si="43"/>
        <v>198</v>
      </c>
      <c r="L916" s="10">
        <f t="shared" si="44"/>
        <v>78</v>
      </c>
      <c r="M916" t="s">
        <v>64</v>
      </c>
      <c r="N916" t="s">
        <v>54</v>
      </c>
      <c r="O916" t="s">
        <v>67</v>
      </c>
      <c r="P916">
        <v>3</v>
      </c>
    </row>
    <row r="917" spans="1:16" x14ac:dyDescent="0.25">
      <c r="A917" t="str">
        <f t="shared" si="42"/>
        <v>ORD0916</v>
      </c>
      <c r="B917" s="3">
        <v>46093</v>
      </c>
      <c r="C917" t="s">
        <v>103</v>
      </c>
      <c r="D917" t="s">
        <v>68</v>
      </c>
      <c r="E917" t="s">
        <v>20</v>
      </c>
      <c r="F917" t="s">
        <v>17</v>
      </c>
      <c r="G917">
        <v>2</v>
      </c>
      <c r="H917" s="10">
        <f>_xlfn.XLOOKUP(E917,Table18[Product],Table18[Unit_Price])</f>
        <v>150</v>
      </c>
      <c r="I917" s="10">
        <f>_xlfn.XLOOKUP(E917,Table18[Product],Table18[Cost_Price])</f>
        <v>75</v>
      </c>
      <c r="J917" s="10">
        <v>15</v>
      </c>
      <c r="K917" s="10">
        <f t="shared" si="43"/>
        <v>285</v>
      </c>
      <c r="L917" s="10">
        <f t="shared" si="44"/>
        <v>135</v>
      </c>
      <c r="M917" t="s">
        <v>49</v>
      </c>
      <c r="N917" t="s">
        <v>54</v>
      </c>
      <c r="O917" t="s">
        <v>62</v>
      </c>
      <c r="P917">
        <v>4</v>
      </c>
    </row>
    <row r="918" spans="1:16" x14ac:dyDescent="0.25">
      <c r="A918" t="str">
        <f t="shared" si="42"/>
        <v>ORD0917</v>
      </c>
      <c r="B918" s="3">
        <v>46254</v>
      </c>
      <c r="C918" t="s">
        <v>97</v>
      </c>
      <c r="D918" t="s">
        <v>66</v>
      </c>
      <c r="E918" t="s">
        <v>29</v>
      </c>
      <c r="F918" t="s">
        <v>28</v>
      </c>
      <c r="G918">
        <v>5</v>
      </c>
      <c r="H918" s="10">
        <f>_xlfn.XLOOKUP(E918,Table18[Product],Table18[Unit_Price])</f>
        <v>120</v>
      </c>
      <c r="I918" s="10">
        <f>_xlfn.XLOOKUP(E918,Table18[Product],Table18[Cost_Price])</f>
        <v>60</v>
      </c>
      <c r="J918" s="10">
        <v>42</v>
      </c>
      <c r="K918" s="10">
        <f t="shared" si="43"/>
        <v>558</v>
      </c>
      <c r="L918" s="10">
        <f t="shared" si="44"/>
        <v>258</v>
      </c>
      <c r="M918" t="s">
        <v>64</v>
      </c>
      <c r="N918" t="s">
        <v>54</v>
      </c>
      <c r="O918" t="s">
        <v>59</v>
      </c>
      <c r="P918">
        <v>5</v>
      </c>
    </row>
    <row r="919" spans="1:16" x14ac:dyDescent="0.25">
      <c r="A919" t="str">
        <f t="shared" si="42"/>
        <v>ORD0918</v>
      </c>
      <c r="B919" s="3">
        <v>46349</v>
      </c>
      <c r="C919" t="s">
        <v>76</v>
      </c>
      <c r="D919" t="s">
        <v>48</v>
      </c>
      <c r="E919" t="s">
        <v>34</v>
      </c>
      <c r="F919" t="s">
        <v>35</v>
      </c>
      <c r="G919">
        <v>2</v>
      </c>
      <c r="H919" s="10">
        <f>_xlfn.XLOOKUP(E919,Table18[Product],Table18[Unit_Price])</f>
        <v>180</v>
      </c>
      <c r="I919" s="10">
        <f>_xlfn.XLOOKUP(E919,Table18[Product],Table18[Cost_Price])</f>
        <v>90</v>
      </c>
      <c r="J919" s="10">
        <v>50</v>
      </c>
      <c r="K919" s="10">
        <f t="shared" si="43"/>
        <v>310</v>
      </c>
      <c r="L919" s="10">
        <f t="shared" si="44"/>
        <v>130</v>
      </c>
      <c r="M919" t="s">
        <v>64</v>
      </c>
      <c r="N919" t="s">
        <v>50</v>
      </c>
      <c r="O919" t="s">
        <v>59</v>
      </c>
      <c r="P919">
        <v>5</v>
      </c>
    </row>
    <row r="920" spans="1:16" x14ac:dyDescent="0.25">
      <c r="A920" t="str">
        <f t="shared" si="42"/>
        <v>ORD0919</v>
      </c>
      <c r="B920" s="3">
        <v>46342</v>
      </c>
      <c r="C920" t="s">
        <v>86</v>
      </c>
      <c r="D920" t="s">
        <v>68</v>
      </c>
      <c r="E920" t="s">
        <v>27</v>
      </c>
      <c r="F920" t="s">
        <v>28</v>
      </c>
      <c r="G920">
        <v>2</v>
      </c>
      <c r="H920" s="10">
        <f>_xlfn.XLOOKUP(E920,Table18[Product],Table18[Unit_Price])</f>
        <v>140</v>
      </c>
      <c r="I920" s="10">
        <f>_xlfn.XLOOKUP(E920,Table18[Product],Table18[Cost_Price])</f>
        <v>70</v>
      </c>
      <c r="J920" s="10">
        <v>43</v>
      </c>
      <c r="K920" s="10">
        <f t="shared" si="43"/>
        <v>237</v>
      </c>
      <c r="L920" s="10">
        <f t="shared" si="44"/>
        <v>97</v>
      </c>
      <c r="M920" t="s">
        <v>57</v>
      </c>
      <c r="N920" t="s">
        <v>58</v>
      </c>
      <c r="O920" t="s">
        <v>65</v>
      </c>
      <c r="P920">
        <v>3</v>
      </c>
    </row>
    <row r="921" spans="1:16" x14ac:dyDescent="0.25">
      <c r="A921" t="str">
        <f t="shared" si="42"/>
        <v>ORD0920</v>
      </c>
      <c r="B921" s="3">
        <v>46039</v>
      </c>
      <c r="C921" t="s">
        <v>79</v>
      </c>
      <c r="D921" t="s">
        <v>70</v>
      </c>
      <c r="E921" t="s">
        <v>38</v>
      </c>
      <c r="F921" t="s">
        <v>35</v>
      </c>
      <c r="G921">
        <v>5</v>
      </c>
      <c r="H921" s="10">
        <f>_xlfn.XLOOKUP(E921,Table18[Product],Table18[Unit_Price])</f>
        <v>170</v>
      </c>
      <c r="I921" s="10">
        <f>_xlfn.XLOOKUP(E921,Table18[Product],Table18[Cost_Price])</f>
        <v>85</v>
      </c>
      <c r="J921" s="10">
        <v>34</v>
      </c>
      <c r="K921" s="10">
        <f t="shared" si="43"/>
        <v>816</v>
      </c>
      <c r="L921" s="10">
        <f t="shared" si="44"/>
        <v>391</v>
      </c>
      <c r="M921" t="s">
        <v>64</v>
      </c>
      <c r="N921" t="s">
        <v>54</v>
      </c>
      <c r="O921" t="s">
        <v>69</v>
      </c>
      <c r="P921">
        <v>5</v>
      </c>
    </row>
    <row r="922" spans="1:16" x14ac:dyDescent="0.25">
      <c r="A922" t="str">
        <f t="shared" si="42"/>
        <v>ORD0921</v>
      </c>
      <c r="B922" s="3">
        <v>46213</v>
      </c>
      <c r="C922" t="s">
        <v>105</v>
      </c>
      <c r="D922" t="s">
        <v>63</v>
      </c>
      <c r="E922" t="s">
        <v>21</v>
      </c>
      <c r="F922" t="s">
        <v>17</v>
      </c>
      <c r="G922">
        <v>5</v>
      </c>
      <c r="H922" s="10">
        <f>_xlfn.XLOOKUP(E922,Table18[Product],Table18[Unit_Price])</f>
        <v>220</v>
      </c>
      <c r="I922" s="10">
        <f>_xlfn.XLOOKUP(E922,Table18[Product],Table18[Cost_Price])</f>
        <v>110</v>
      </c>
      <c r="J922" s="10">
        <v>3</v>
      </c>
      <c r="K922" s="10">
        <f t="shared" si="43"/>
        <v>1097</v>
      </c>
      <c r="L922" s="10">
        <f t="shared" si="44"/>
        <v>547</v>
      </c>
      <c r="M922" t="s">
        <v>53</v>
      </c>
      <c r="N922" t="s">
        <v>58</v>
      </c>
      <c r="O922" t="s">
        <v>65</v>
      </c>
      <c r="P922">
        <v>5</v>
      </c>
    </row>
    <row r="923" spans="1:16" x14ac:dyDescent="0.25">
      <c r="A923" t="str">
        <f t="shared" si="42"/>
        <v>ORD0922</v>
      </c>
      <c r="B923" s="3">
        <v>46379</v>
      </c>
      <c r="C923" t="s">
        <v>103</v>
      </c>
      <c r="D923" t="s">
        <v>66</v>
      </c>
      <c r="E923" t="s">
        <v>38</v>
      </c>
      <c r="F923" t="s">
        <v>35</v>
      </c>
      <c r="G923">
        <v>4</v>
      </c>
      <c r="H923" s="10">
        <f>_xlfn.XLOOKUP(E923,Table18[Product],Table18[Unit_Price])</f>
        <v>170</v>
      </c>
      <c r="I923" s="10">
        <f>_xlfn.XLOOKUP(E923,Table18[Product],Table18[Cost_Price])</f>
        <v>85</v>
      </c>
      <c r="J923" s="10">
        <v>8</v>
      </c>
      <c r="K923" s="10">
        <f t="shared" si="43"/>
        <v>672</v>
      </c>
      <c r="L923" s="10">
        <f t="shared" si="44"/>
        <v>332</v>
      </c>
      <c r="M923" t="s">
        <v>49</v>
      </c>
      <c r="N923" t="s">
        <v>54</v>
      </c>
      <c r="O923" t="s">
        <v>62</v>
      </c>
      <c r="P923">
        <v>4</v>
      </c>
    </row>
    <row r="924" spans="1:16" x14ac:dyDescent="0.25">
      <c r="A924" t="str">
        <f t="shared" si="42"/>
        <v>ORD0923</v>
      </c>
      <c r="B924" s="3">
        <v>46041</v>
      </c>
      <c r="C924" t="s">
        <v>89</v>
      </c>
      <c r="D924" t="s">
        <v>56</v>
      </c>
      <c r="E924" t="s">
        <v>37</v>
      </c>
      <c r="F924" t="s">
        <v>35</v>
      </c>
      <c r="G924">
        <v>3</v>
      </c>
      <c r="H924" s="10">
        <f>_xlfn.XLOOKUP(E924,Table18[Product],Table18[Unit_Price])</f>
        <v>160</v>
      </c>
      <c r="I924" s="10">
        <f>_xlfn.XLOOKUP(E924,Table18[Product],Table18[Cost_Price])</f>
        <v>80</v>
      </c>
      <c r="J924" s="10">
        <v>2</v>
      </c>
      <c r="K924" s="10">
        <f t="shared" si="43"/>
        <v>478</v>
      </c>
      <c r="L924" s="10">
        <f t="shared" si="44"/>
        <v>238</v>
      </c>
      <c r="M924" t="s">
        <v>64</v>
      </c>
      <c r="N924" t="s">
        <v>54</v>
      </c>
      <c r="O924" t="s">
        <v>65</v>
      </c>
      <c r="P924">
        <v>4</v>
      </c>
    </row>
    <row r="925" spans="1:16" x14ac:dyDescent="0.25">
      <c r="A925" t="str">
        <f t="shared" si="42"/>
        <v>ORD0924</v>
      </c>
      <c r="B925" s="3">
        <v>46165</v>
      </c>
      <c r="C925" t="s">
        <v>82</v>
      </c>
      <c r="D925" t="s">
        <v>56</v>
      </c>
      <c r="E925" t="s">
        <v>27</v>
      </c>
      <c r="F925" t="s">
        <v>28</v>
      </c>
      <c r="G925">
        <v>4</v>
      </c>
      <c r="H925" s="10">
        <f>_xlfn.XLOOKUP(E925,Table18[Product],Table18[Unit_Price])</f>
        <v>140</v>
      </c>
      <c r="I925" s="10">
        <f>_xlfn.XLOOKUP(E925,Table18[Product],Table18[Cost_Price])</f>
        <v>70</v>
      </c>
      <c r="J925" s="10">
        <v>36</v>
      </c>
      <c r="K925" s="10">
        <f t="shared" si="43"/>
        <v>524</v>
      </c>
      <c r="L925" s="10">
        <f t="shared" si="44"/>
        <v>244</v>
      </c>
      <c r="M925" t="s">
        <v>53</v>
      </c>
      <c r="N925" t="s">
        <v>58</v>
      </c>
      <c r="O925" t="s">
        <v>65</v>
      </c>
      <c r="P925">
        <v>3</v>
      </c>
    </row>
    <row r="926" spans="1:16" x14ac:dyDescent="0.25">
      <c r="A926" t="str">
        <f t="shared" si="42"/>
        <v>ORD0925</v>
      </c>
      <c r="B926" s="3">
        <v>46211</v>
      </c>
      <c r="C926" t="s">
        <v>94</v>
      </c>
      <c r="D926" t="s">
        <v>70</v>
      </c>
      <c r="E926" t="s">
        <v>22</v>
      </c>
      <c r="F926" t="s">
        <v>23</v>
      </c>
      <c r="G926">
        <v>4</v>
      </c>
      <c r="H926" s="10">
        <f>_xlfn.XLOOKUP(E926,Table18[Product],Table18[Unit_Price])</f>
        <v>190</v>
      </c>
      <c r="I926" s="10">
        <f>_xlfn.XLOOKUP(E926,Table18[Product],Table18[Cost_Price])</f>
        <v>95</v>
      </c>
      <c r="J926" s="10">
        <v>47</v>
      </c>
      <c r="K926" s="10">
        <f t="shared" si="43"/>
        <v>713</v>
      </c>
      <c r="L926" s="10">
        <f t="shared" si="44"/>
        <v>333</v>
      </c>
      <c r="M926" t="s">
        <v>61</v>
      </c>
      <c r="N926" t="s">
        <v>54</v>
      </c>
      <c r="O926" t="s">
        <v>75</v>
      </c>
      <c r="P926">
        <v>5</v>
      </c>
    </row>
    <row r="927" spans="1:16" x14ac:dyDescent="0.25">
      <c r="A927" t="str">
        <f t="shared" si="42"/>
        <v>ORD0926</v>
      </c>
      <c r="B927" s="3">
        <v>46252</v>
      </c>
      <c r="C927" t="s">
        <v>90</v>
      </c>
      <c r="D927" t="s">
        <v>63</v>
      </c>
      <c r="E927" t="s">
        <v>39</v>
      </c>
      <c r="F927" t="s">
        <v>40</v>
      </c>
      <c r="G927">
        <v>1</v>
      </c>
      <c r="H927" s="10">
        <f>_xlfn.XLOOKUP(E927,Table18[Product],Table18[Unit_Price])</f>
        <v>240</v>
      </c>
      <c r="I927" s="10">
        <f>_xlfn.XLOOKUP(E927,Table18[Product],Table18[Cost_Price])</f>
        <v>120</v>
      </c>
      <c r="J927" s="10">
        <v>42</v>
      </c>
      <c r="K927" s="10">
        <f t="shared" si="43"/>
        <v>198</v>
      </c>
      <c r="L927" s="10">
        <f t="shared" si="44"/>
        <v>78</v>
      </c>
      <c r="M927" t="s">
        <v>61</v>
      </c>
      <c r="N927" t="s">
        <v>58</v>
      </c>
      <c r="O927" t="s">
        <v>67</v>
      </c>
      <c r="P927">
        <v>3</v>
      </c>
    </row>
    <row r="928" spans="1:16" x14ac:dyDescent="0.25">
      <c r="A928" t="str">
        <f t="shared" si="42"/>
        <v>ORD0927</v>
      </c>
      <c r="B928" s="3">
        <v>46050</v>
      </c>
      <c r="C928" t="s">
        <v>100</v>
      </c>
      <c r="D928" t="s">
        <v>52</v>
      </c>
      <c r="E928" t="s">
        <v>29</v>
      </c>
      <c r="F928" t="s">
        <v>28</v>
      </c>
      <c r="G928">
        <v>4</v>
      </c>
      <c r="H928" s="10">
        <f>_xlfn.XLOOKUP(E928,Table18[Product],Table18[Unit_Price])</f>
        <v>120</v>
      </c>
      <c r="I928" s="10">
        <f>_xlfn.XLOOKUP(E928,Table18[Product],Table18[Cost_Price])</f>
        <v>60</v>
      </c>
      <c r="J928" s="10">
        <v>23</v>
      </c>
      <c r="K928" s="10">
        <f t="shared" si="43"/>
        <v>457</v>
      </c>
      <c r="L928" s="10">
        <f t="shared" si="44"/>
        <v>217</v>
      </c>
      <c r="M928" t="s">
        <v>53</v>
      </c>
      <c r="N928" t="s">
        <v>58</v>
      </c>
      <c r="O928" t="s">
        <v>59</v>
      </c>
      <c r="P928">
        <v>5</v>
      </c>
    </row>
    <row r="929" spans="1:16" x14ac:dyDescent="0.25">
      <c r="A929" t="str">
        <f t="shared" si="42"/>
        <v>ORD0928</v>
      </c>
      <c r="B929" s="3">
        <v>46357</v>
      </c>
      <c r="C929" t="s">
        <v>93</v>
      </c>
      <c r="D929" t="s">
        <v>74</v>
      </c>
      <c r="E929" t="s">
        <v>19</v>
      </c>
      <c r="F929" t="s">
        <v>17</v>
      </c>
      <c r="G929">
        <v>1</v>
      </c>
      <c r="H929" s="10">
        <f>_xlfn.XLOOKUP(E929,Table18[Product],Table18[Unit_Price])</f>
        <v>200</v>
      </c>
      <c r="I929" s="10">
        <f>_xlfn.XLOOKUP(E929,Table18[Product],Table18[Cost_Price])</f>
        <v>100</v>
      </c>
      <c r="J929" s="10">
        <v>45</v>
      </c>
      <c r="K929" s="10">
        <f t="shared" si="43"/>
        <v>155</v>
      </c>
      <c r="L929" s="10">
        <f t="shared" si="44"/>
        <v>55</v>
      </c>
      <c r="M929" t="s">
        <v>61</v>
      </c>
      <c r="N929" t="s">
        <v>50</v>
      </c>
      <c r="O929" t="s">
        <v>67</v>
      </c>
      <c r="P929">
        <v>5</v>
      </c>
    </row>
    <row r="930" spans="1:16" x14ac:dyDescent="0.25">
      <c r="A930" t="str">
        <f t="shared" si="42"/>
        <v>ORD0929</v>
      </c>
      <c r="B930" s="3">
        <v>46186</v>
      </c>
      <c r="C930" t="s">
        <v>82</v>
      </c>
      <c r="D930" t="s">
        <v>52</v>
      </c>
      <c r="E930" t="s">
        <v>29</v>
      </c>
      <c r="F930" t="s">
        <v>28</v>
      </c>
      <c r="G930">
        <v>3</v>
      </c>
      <c r="H930" s="10">
        <f>_xlfn.XLOOKUP(E930,Table18[Product],Table18[Unit_Price])</f>
        <v>120</v>
      </c>
      <c r="I930" s="10">
        <f>_xlfn.XLOOKUP(E930,Table18[Product],Table18[Cost_Price])</f>
        <v>60</v>
      </c>
      <c r="J930" s="10">
        <v>24</v>
      </c>
      <c r="K930" s="10">
        <f t="shared" si="43"/>
        <v>336</v>
      </c>
      <c r="L930" s="10">
        <f t="shared" si="44"/>
        <v>156</v>
      </c>
      <c r="M930" t="s">
        <v>64</v>
      </c>
      <c r="N930" t="s">
        <v>58</v>
      </c>
      <c r="O930" t="s">
        <v>51</v>
      </c>
      <c r="P930">
        <v>4</v>
      </c>
    </row>
    <row r="931" spans="1:16" x14ac:dyDescent="0.25">
      <c r="A931" t="str">
        <f t="shared" si="42"/>
        <v>ORD0930</v>
      </c>
      <c r="B931" s="3">
        <v>46247</v>
      </c>
      <c r="C931" t="s">
        <v>92</v>
      </c>
      <c r="D931" t="s">
        <v>68</v>
      </c>
      <c r="E931" t="s">
        <v>16</v>
      </c>
      <c r="F931" t="s">
        <v>17</v>
      </c>
      <c r="G931">
        <v>3</v>
      </c>
      <c r="H931" s="10">
        <f>_xlfn.XLOOKUP(E931,Table18[Product],Table18[Unit_Price])</f>
        <v>120</v>
      </c>
      <c r="I931" s="10">
        <f>_xlfn.XLOOKUP(E931,Table18[Product],Table18[Cost_Price])</f>
        <v>60</v>
      </c>
      <c r="J931" s="10">
        <v>2</v>
      </c>
      <c r="K931" s="10">
        <f t="shared" si="43"/>
        <v>358</v>
      </c>
      <c r="L931" s="10">
        <f t="shared" si="44"/>
        <v>178</v>
      </c>
      <c r="M931" t="s">
        <v>64</v>
      </c>
      <c r="N931" t="s">
        <v>58</v>
      </c>
      <c r="O931" t="s">
        <v>65</v>
      </c>
      <c r="P931">
        <v>3</v>
      </c>
    </row>
    <row r="932" spans="1:16" x14ac:dyDescent="0.25">
      <c r="A932" t="str">
        <f t="shared" si="42"/>
        <v>ORD0931</v>
      </c>
      <c r="B932" s="3">
        <v>46093</v>
      </c>
      <c r="C932" t="s">
        <v>88</v>
      </c>
      <c r="D932" t="s">
        <v>52</v>
      </c>
      <c r="E932" t="s">
        <v>34</v>
      </c>
      <c r="F932" t="s">
        <v>35</v>
      </c>
      <c r="G932">
        <v>4</v>
      </c>
      <c r="H932" s="10">
        <f>_xlfn.XLOOKUP(E932,Table18[Product],Table18[Unit_Price])</f>
        <v>180</v>
      </c>
      <c r="I932" s="10">
        <f>_xlfn.XLOOKUP(E932,Table18[Product],Table18[Cost_Price])</f>
        <v>90</v>
      </c>
      <c r="J932" s="10">
        <v>41</v>
      </c>
      <c r="K932" s="10">
        <f t="shared" si="43"/>
        <v>679</v>
      </c>
      <c r="L932" s="10">
        <f t="shared" si="44"/>
        <v>319</v>
      </c>
      <c r="M932" t="s">
        <v>64</v>
      </c>
      <c r="N932" t="s">
        <v>58</v>
      </c>
      <c r="O932" t="s">
        <v>65</v>
      </c>
      <c r="P932">
        <v>4</v>
      </c>
    </row>
    <row r="933" spans="1:16" x14ac:dyDescent="0.25">
      <c r="A933" t="str">
        <f t="shared" si="42"/>
        <v>ORD0932</v>
      </c>
      <c r="B933" s="3">
        <v>46277</v>
      </c>
      <c r="C933" t="s">
        <v>96</v>
      </c>
      <c r="D933" t="s">
        <v>60</v>
      </c>
      <c r="E933" t="s">
        <v>30</v>
      </c>
      <c r="F933" t="s">
        <v>31</v>
      </c>
      <c r="G933">
        <v>5</v>
      </c>
      <c r="H933" s="10">
        <f>_xlfn.XLOOKUP(E933,Table18[Product],Table18[Unit_Price])</f>
        <v>110</v>
      </c>
      <c r="I933" s="10">
        <f>_xlfn.XLOOKUP(E933,Table18[Product],Table18[Cost_Price])</f>
        <v>55</v>
      </c>
      <c r="J933" s="10">
        <v>10</v>
      </c>
      <c r="K933" s="10">
        <f t="shared" si="43"/>
        <v>540</v>
      </c>
      <c r="L933" s="10">
        <f t="shared" si="44"/>
        <v>265</v>
      </c>
      <c r="M933" t="s">
        <v>57</v>
      </c>
      <c r="N933" t="s">
        <v>54</v>
      </c>
      <c r="O933" t="s">
        <v>55</v>
      </c>
      <c r="P933">
        <v>5</v>
      </c>
    </row>
    <row r="934" spans="1:16" x14ac:dyDescent="0.25">
      <c r="A934" t="str">
        <f t="shared" si="42"/>
        <v>ORD0933</v>
      </c>
      <c r="B934" s="3">
        <v>46134</v>
      </c>
      <c r="C934" t="s">
        <v>96</v>
      </c>
      <c r="D934" t="s">
        <v>52</v>
      </c>
      <c r="E934" t="s">
        <v>33</v>
      </c>
      <c r="F934" t="s">
        <v>31</v>
      </c>
      <c r="G934">
        <v>3</v>
      </c>
      <c r="H934" s="10">
        <f>_xlfn.XLOOKUP(E934,Table18[Product],Table18[Unit_Price])</f>
        <v>150</v>
      </c>
      <c r="I934" s="10">
        <f>_xlfn.XLOOKUP(E934,Table18[Product],Table18[Cost_Price])</f>
        <v>75</v>
      </c>
      <c r="J934" s="10">
        <v>49</v>
      </c>
      <c r="K934" s="10">
        <f t="shared" si="43"/>
        <v>401</v>
      </c>
      <c r="L934" s="10">
        <f t="shared" si="44"/>
        <v>176</v>
      </c>
      <c r="M934" t="s">
        <v>64</v>
      </c>
      <c r="N934" t="s">
        <v>54</v>
      </c>
      <c r="O934" t="s">
        <v>59</v>
      </c>
      <c r="P934">
        <v>5</v>
      </c>
    </row>
    <row r="935" spans="1:16" x14ac:dyDescent="0.25">
      <c r="A935" t="str">
        <f t="shared" si="42"/>
        <v>ORD0934</v>
      </c>
      <c r="B935" s="3">
        <v>46113</v>
      </c>
      <c r="C935" t="s">
        <v>89</v>
      </c>
      <c r="D935" t="s">
        <v>68</v>
      </c>
      <c r="E935" t="s">
        <v>16</v>
      </c>
      <c r="F935" t="s">
        <v>17</v>
      </c>
      <c r="G935">
        <v>4</v>
      </c>
      <c r="H935" s="10">
        <f>_xlfn.XLOOKUP(E935,Table18[Product],Table18[Unit_Price])</f>
        <v>120</v>
      </c>
      <c r="I935" s="10">
        <f>_xlfn.XLOOKUP(E935,Table18[Product],Table18[Cost_Price])</f>
        <v>60</v>
      </c>
      <c r="J935" s="10">
        <v>19</v>
      </c>
      <c r="K935" s="10">
        <f t="shared" si="43"/>
        <v>461</v>
      </c>
      <c r="L935" s="10">
        <f t="shared" si="44"/>
        <v>221</v>
      </c>
      <c r="M935" t="s">
        <v>64</v>
      </c>
      <c r="N935" t="s">
        <v>50</v>
      </c>
      <c r="O935" t="s">
        <v>59</v>
      </c>
      <c r="P935">
        <v>5</v>
      </c>
    </row>
    <row r="936" spans="1:16" x14ac:dyDescent="0.25">
      <c r="A936" t="str">
        <f t="shared" si="42"/>
        <v>ORD0935</v>
      </c>
      <c r="B936" s="3">
        <v>46032</v>
      </c>
      <c r="C936" t="s">
        <v>88</v>
      </c>
      <c r="D936" t="s">
        <v>72</v>
      </c>
      <c r="E936" t="s">
        <v>24</v>
      </c>
      <c r="F936" t="s">
        <v>23</v>
      </c>
      <c r="G936">
        <v>4</v>
      </c>
      <c r="H936" s="10">
        <f>_xlfn.XLOOKUP(E936,Table18[Product],Table18[Unit_Price])</f>
        <v>210</v>
      </c>
      <c r="I936" s="10">
        <f>_xlfn.XLOOKUP(E936,Table18[Product],Table18[Cost_Price])</f>
        <v>105</v>
      </c>
      <c r="J936" s="10">
        <v>46</v>
      </c>
      <c r="K936" s="10">
        <f t="shared" si="43"/>
        <v>794</v>
      </c>
      <c r="L936" s="10">
        <f t="shared" si="44"/>
        <v>374</v>
      </c>
      <c r="M936" t="s">
        <v>57</v>
      </c>
      <c r="N936" t="s">
        <v>54</v>
      </c>
      <c r="O936" t="s">
        <v>67</v>
      </c>
      <c r="P936">
        <v>3</v>
      </c>
    </row>
    <row r="937" spans="1:16" x14ac:dyDescent="0.25">
      <c r="A937" t="str">
        <f t="shared" si="42"/>
        <v>ORD0936</v>
      </c>
      <c r="B937" s="3">
        <v>46341</v>
      </c>
      <c r="C937" t="s">
        <v>103</v>
      </c>
      <c r="D937" t="s">
        <v>68</v>
      </c>
      <c r="E937" t="s">
        <v>37</v>
      </c>
      <c r="F937" t="s">
        <v>35</v>
      </c>
      <c r="G937">
        <v>2</v>
      </c>
      <c r="H937" s="10">
        <f>_xlfn.XLOOKUP(E937,Table18[Product],Table18[Unit_Price])</f>
        <v>160</v>
      </c>
      <c r="I937" s="10">
        <f>_xlfn.XLOOKUP(E937,Table18[Product],Table18[Cost_Price])</f>
        <v>80</v>
      </c>
      <c r="J937" s="10">
        <v>40</v>
      </c>
      <c r="K937" s="10">
        <f t="shared" si="43"/>
        <v>280</v>
      </c>
      <c r="L937" s="10">
        <f t="shared" si="44"/>
        <v>120</v>
      </c>
      <c r="M937" t="s">
        <v>57</v>
      </c>
      <c r="N937" t="s">
        <v>54</v>
      </c>
      <c r="O937" t="s">
        <v>67</v>
      </c>
      <c r="P937">
        <v>5</v>
      </c>
    </row>
    <row r="938" spans="1:16" x14ac:dyDescent="0.25">
      <c r="A938" t="str">
        <f t="shared" si="42"/>
        <v>ORD0937</v>
      </c>
      <c r="B938" s="3">
        <v>46114</v>
      </c>
      <c r="C938" t="s">
        <v>80</v>
      </c>
      <c r="D938" t="s">
        <v>70</v>
      </c>
      <c r="E938" t="s">
        <v>25</v>
      </c>
      <c r="F938" t="s">
        <v>26</v>
      </c>
      <c r="G938">
        <v>5</v>
      </c>
      <c r="H938" s="10">
        <f>_xlfn.XLOOKUP(E938,Table18[Product],Table18[Unit_Price])</f>
        <v>170</v>
      </c>
      <c r="I938" s="10">
        <f>_xlfn.XLOOKUP(E938,Table18[Product],Table18[Cost_Price])</f>
        <v>85</v>
      </c>
      <c r="J938" s="10">
        <v>37</v>
      </c>
      <c r="K938" s="10">
        <f t="shared" si="43"/>
        <v>813</v>
      </c>
      <c r="L938" s="10">
        <f t="shared" si="44"/>
        <v>388</v>
      </c>
      <c r="M938" t="s">
        <v>64</v>
      </c>
      <c r="N938" t="s">
        <v>54</v>
      </c>
      <c r="O938" t="s">
        <v>67</v>
      </c>
      <c r="P938">
        <v>5</v>
      </c>
    </row>
    <row r="939" spans="1:16" x14ac:dyDescent="0.25">
      <c r="A939" t="str">
        <f t="shared" si="42"/>
        <v>ORD0938</v>
      </c>
      <c r="B939" s="3">
        <v>46039</v>
      </c>
      <c r="C939" t="s">
        <v>103</v>
      </c>
      <c r="D939" t="s">
        <v>56</v>
      </c>
      <c r="E939" t="s">
        <v>30</v>
      </c>
      <c r="F939" t="s">
        <v>31</v>
      </c>
      <c r="G939">
        <v>3</v>
      </c>
      <c r="H939" s="10">
        <f>_xlfn.XLOOKUP(E939,Table18[Product],Table18[Unit_Price])</f>
        <v>110</v>
      </c>
      <c r="I939" s="10">
        <f>_xlfn.XLOOKUP(E939,Table18[Product],Table18[Cost_Price])</f>
        <v>55</v>
      </c>
      <c r="J939" s="10">
        <v>45</v>
      </c>
      <c r="K939" s="10">
        <f t="shared" si="43"/>
        <v>285</v>
      </c>
      <c r="L939" s="10">
        <f t="shared" si="44"/>
        <v>120</v>
      </c>
      <c r="M939" t="s">
        <v>64</v>
      </c>
      <c r="N939" t="s">
        <v>58</v>
      </c>
      <c r="O939" t="s">
        <v>69</v>
      </c>
      <c r="P939">
        <v>3</v>
      </c>
    </row>
    <row r="940" spans="1:16" x14ac:dyDescent="0.25">
      <c r="A940" t="str">
        <f t="shared" si="42"/>
        <v>ORD0939</v>
      </c>
      <c r="B940" s="3">
        <v>46128</v>
      </c>
      <c r="C940" t="s">
        <v>97</v>
      </c>
      <c r="D940" t="s">
        <v>52</v>
      </c>
      <c r="E940" t="s">
        <v>18</v>
      </c>
      <c r="F940" t="s">
        <v>17</v>
      </c>
      <c r="G940">
        <v>3</v>
      </c>
      <c r="H940" s="10">
        <f>_xlfn.XLOOKUP(E940,Table18[Product],Table18[Unit_Price])</f>
        <v>180</v>
      </c>
      <c r="I940" s="10">
        <f>_xlfn.XLOOKUP(E940,Table18[Product],Table18[Cost_Price])</f>
        <v>90</v>
      </c>
      <c r="J940" s="10">
        <v>40</v>
      </c>
      <c r="K940" s="10">
        <f t="shared" si="43"/>
        <v>500</v>
      </c>
      <c r="L940" s="10">
        <f t="shared" si="44"/>
        <v>230</v>
      </c>
      <c r="M940" t="s">
        <v>57</v>
      </c>
      <c r="N940" t="s">
        <v>54</v>
      </c>
      <c r="O940" t="s">
        <v>62</v>
      </c>
      <c r="P940">
        <v>5</v>
      </c>
    </row>
    <row r="941" spans="1:16" x14ac:dyDescent="0.25">
      <c r="A941" t="str">
        <f t="shared" si="42"/>
        <v>ORD0940</v>
      </c>
      <c r="B941" s="3">
        <v>46260</v>
      </c>
      <c r="C941" t="s">
        <v>89</v>
      </c>
      <c r="D941" t="s">
        <v>48</v>
      </c>
      <c r="E941" t="s">
        <v>18</v>
      </c>
      <c r="F941" t="s">
        <v>17</v>
      </c>
      <c r="G941">
        <v>2</v>
      </c>
      <c r="H941" s="10">
        <f>_xlfn.XLOOKUP(E941,Table18[Product],Table18[Unit_Price])</f>
        <v>180</v>
      </c>
      <c r="I941" s="10">
        <f>_xlfn.XLOOKUP(E941,Table18[Product],Table18[Cost_Price])</f>
        <v>90</v>
      </c>
      <c r="J941" s="10">
        <v>32</v>
      </c>
      <c r="K941" s="10">
        <f t="shared" si="43"/>
        <v>328</v>
      </c>
      <c r="L941" s="10">
        <f t="shared" si="44"/>
        <v>148</v>
      </c>
      <c r="M941" t="s">
        <v>53</v>
      </c>
      <c r="N941" t="s">
        <v>58</v>
      </c>
      <c r="O941" t="s">
        <v>55</v>
      </c>
      <c r="P941">
        <v>5</v>
      </c>
    </row>
    <row r="942" spans="1:16" x14ac:dyDescent="0.25">
      <c r="A942" t="str">
        <f t="shared" si="42"/>
        <v>ORD0941</v>
      </c>
      <c r="B942" s="3">
        <v>46337</v>
      </c>
      <c r="C942" t="s">
        <v>94</v>
      </c>
      <c r="D942" t="s">
        <v>74</v>
      </c>
      <c r="E942" t="s">
        <v>37</v>
      </c>
      <c r="F942" t="s">
        <v>35</v>
      </c>
      <c r="G942">
        <v>2</v>
      </c>
      <c r="H942" s="10">
        <f>_xlfn.XLOOKUP(E942,Table18[Product],Table18[Unit_Price])</f>
        <v>160</v>
      </c>
      <c r="I942" s="10">
        <f>_xlfn.XLOOKUP(E942,Table18[Product],Table18[Cost_Price])</f>
        <v>80</v>
      </c>
      <c r="J942" s="10">
        <v>11</v>
      </c>
      <c r="K942" s="10">
        <f t="shared" si="43"/>
        <v>309</v>
      </c>
      <c r="L942" s="10">
        <f t="shared" si="44"/>
        <v>149</v>
      </c>
      <c r="M942" t="s">
        <v>49</v>
      </c>
      <c r="N942" t="s">
        <v>50</v>
      </c>
      <c r="O942" t="s">
        <v>59</v>
      </c>
      <c r="P942">
        <v>4</v>
      </c>
    </row>
    <row r="943" spans="1:16" x14ac:dyDescent="0.25">
      <c r="A943" t="str">
        <f t="shared" si="42"/>
        <v>ORD0942</v>
      </c>
      <c r="B943" s="3">
        <v>46348</v>
      </c>
      <c r="C943" t="s">
        <v>100</v>
      </c>
      <c r="D943" t="s">
        <v>66</v>
      </c>
      <c r="E943" t="s">
        <v>24</v>
      </c>
      <c r="F943" t="s">
        <v>23</v>
      </c>
      <c r="G943">
        <v>3</v>
      </c>
      <c r="H943" s="10">
        <f>_xlfn.XLOOKUP(E943,Table18[Product],Table18[Unit_Price])</f>
        <v>210</v>
      </c>
      <c r="I943" s="10">
        <f>_xlfn.XLOOKUP(E943,Table18[Product],Table18[Cost_Price])</f>
        <v>105</v>
      </c>
      <c r="J943" s="10">
        <v>48</v>
      </c>
      <c r="K943" s="10">
        <f t="shared" si="43"/>
        <v>582</v>
      </c>
      <c r="L943" s="10">
        <f t="shared" si="44"/>
        <v>267</v>
      </c>
      <c r="M943" t="s">
        <v>49</v>
      </c>
      <c r="N943" t="s">
        <v>58</v>
      </c>
      <c r="O943" t="s">
        <v>69</v>
      </c>
      <c r="P943">
        <v>5</v>
      </c>
    </row>
    <row r="944" spans="1:16" x14ac:dyDescent="0.25">
      <c r="A944" t="str">
        <f t="shared" si="42"/>
        <v>ORD0943</v>
      </c>
      <c r="B944" s="3">
        <v>46033</v>
      </c>
      <c r="C944" t="s">
        <v>82</v>
      </c>
      <c r="D944" t="s">
        <v>60</v>
      </c>
      <c r="E944" t="s">
        <v>20</v>
      </c>
      <c r="F944" t="s">
        <v>17</v>
      </c>
      <c r="G944">
        <v>4</v>
      </c>
      <c r="H944" s="10">
        <f>_xlfn.XLOOKUP(E944,Table18[Product],Table18[Unit_Price])</f>
        <v>150</v>
      </c>
      <c r="I944" s="10">
        <f>_xlfn.XLOOKUP(E944,Table18[Product],Table18[Cost_Price])</f>
        <v>75</v>
      </c>
      <c r="J944" s="10">
        <v>24</v>
      </c>
      <c r="K944" s="10">
        <f t="shared" si="43"/>
        <v>576</v>
      </c>
      <c r="L944" s="10">
        <f t="shared" si="44"/>
        <v>276</v>
      </c>
      <c r="M944" t="s">
        <v>64</v>
      </c>
      <c r="N944" t="s">
        <v>58</v>
      </c>
      <c r="O944" t="s">
        <v>67</v>
      </c>
      <c r="P944">
        <v>4</v>
      </c>
    </row>
    <row r="945" spans="1:16" x14ac:dyDescent="0.25">
      <c r="A945" t="str">
        <f t="shared" si="42"/>
        <v>ORD0944</v>
      </c>
      <c r="B945" s="3">
        <v>46133</v>
      </c>
      <c r="C945" t="s">
        <v>102</v>
      </c>
      <c r="D945" t="s">
        <v>68</v>
      </c>
      <c r="E945" t="s">
        <v>25</v>
      </c>
      <c r="F945" t="s">
        <v>26</v>
      </c>
      <c r="G945">
        <v>4</v>
      </c>
      <c r="H945" s="10">
        <f>_xlfn.XLOOKUP(E945,Table18[Product],Table18[Unit_Price])</f>
        <v>170</v>
      </c>
      <c r="I945" s="10">
        <f>_xlfn.XLOOKUP(E945,Table18[Product],Table18[Cost_Price])</f>
        <v>85</v>
      </c>
      <c r="J945" s="10">
        <v>43</v>
      </c>
      <c r="K945" s="10">
        <f t="shared" si="43"/>
        <v>637</v>
      </c>
      <c r="L945" s="10">
        <f t="shared" si="44"/>
        <v>297</v>
      </c>
      <c r="M945" t="s">
        <v>61</v>
      </c>
      <c r="N945" t="s">
        <v>54</v>
      </c>
      <c r="O945" t="s">
        <v>62</v>
      </c>
      <c r="P945">
        <v>5</v>
      </c>
    </row>
    <row r="946" spans="1:16" x14ac:dyDescent="0.25">
      <c r="A946" t="str">
        <f t="shared" si="42"/>
        <v>ORD0945</v>
      </c>
      <c r="B946" s="3">
        <v>46318</v>
      </c>
      <c r="C946" t="s">
        <v>105</v>
      </c>
      <c r="D946" t="s">
        <v>70</v>
      </c>
      <c r="E946" t="s">
        <v>16</v>
      </c>
      <c r="F946" t="s">
        <v>17</v>
      </c>
      <c r="G946">
        <v>5</v>
      </c>
      <c r="H946" s="10">
        <f>_xlfn.XLOOKUP(E946,Table18[Product],Table18[Unit_Price])</f>
        <v>120</v>
      </c>
      <c r="I946" s="10">
        <f>_xlfn.XLOOKUP(E946,Table18[Product],Table18[Cost_Price])</f>
        <v>60</v>
      </c>
      <c r="J946" s="10">
        <v>6</v>
      </c>
      <c r="K946" s="10">
        <f t="shared" si="43"/>
        <v>594</v>
      </c>
      <c r="L946" s="10">
        <f t="shared" si="44"/>
        <v>294</v>
      </c>
      <c r="M946" t="s">
        <v>49</v>
      </c>
      <c r="N946" t="s">
        <v>50</v>
      </c>
      <c r="O946" t="s">
        <v>55</v>
      </c>
      <c r="P946">
        <v>3</v>
      </c>
    </row>
    <row r="947" spans="1:16" x14ac:dyDescent="0.25">
      <c r="A947" t="str">
        <f t="shared" si="42"/>
        <v>ORD0946</v>
      </c>
      <c r="B947" s="3">
        <v>46057</v>
      </c>
      <c r="C947" t="s">
        <v>104</v>
      </c>
      <c r="D947" t="s">
        <v>60</v>
      </c>
      <c r="E947" t="s">
        <v>21</v>
      </c>
      <c r="F947" t="s">
        <v>17</v>
      </c>
      <c r="G947">
        <v>1</v>
      </c>
      <c r="H947" s="10">
        <f>_xlfn.XLOOKUP(E947,Table18[Product],Table18[Unit_Price])</f>
        <v>220</v>
      </c>
      <c r="I947" s="10">
        <f>_xlfn.XLOOKUP(E947,Table18[Product],Table18[Cost_Price])</f>
        <v>110</v>
      </c>
      <c r="J947" s="10">
        <v>8</v>
      </c>
      <c r="K947" s="10">
        <f t="shared" si="43"/>
        <v>212</v>
      </c>
      <c r="L947" s="10">
        <f t="shared" si="44"/>
        <v>102</v>
      </c>
      <c r="M947" t="s">
        <v>49</v>
      </c>
      <c r="N947" t="s">
        <v>50</v>
      </c>
      <c r="O947" t="s">
        <v>59</v>
      </c>
      <c r="P947">
        <v>4</v>
      </c>
    </row>
    <row r="948" spans="1:16" x14ac:dyDescent="0.25">
      <c r="A948" t="str">
        <f t="shared" si="42"/>
        <v>ORD0947</v>
      </c>
      <c r="B948" s="3">
        <v>46251</v>
      </c>
      <c r="C948" t="s">
        <v>80</v>
      </c>
      <c r="D948" t="s">
        <v>66</v>
      </c>
      <c r="E948" t="s">
        <v>34</v>
      </c>
      <c r="F948" t="s">
        <v>35</v>
      </c>
      <c r="G948">
        <v>2</v>
      </c>
      <c r="H948" s="10">
        <f>_xlfn.XLOOKUP(E948,Table18[Product],Table18[Unit_Price])</f>
        <v>180</v>
      </c>
      <c r="I948" s="10">
        <f>_xlfn.XLOOKUP(E948,Table18[Product],Table18[Cost_Price])</f>
        <v>90</v>
      </c>
      <c r="J948" s="10">
        <v>30</v>
      </c>
      <c r="K948" s="10">
        <f t="shared" si="43"/>
        <v>330</v>
      </c>
      <c r="L948" s="10">
        <f t="shared" si="44"/>
        <v>150</v>
      </c>
      <c r="M948" t="s">
        <v>49</v>
      </c>
      <c r="N948" t="s">
        <v>50</v>
      </c>
      <c r="O948" t="s">
        <v>73</v>
      </c>
      <c r="P948">
        <v>3</v>
      </c>
    </row>
    <row r="949" spans="1:16" x14ac:dyDescent="0.25">
      <c r="A949" t="str">
        <f t="shared" si="42"/>
        <v>ORD0948</v>
      </c>
      <c r="B949" s="3">
        <v>46238</v>
      </c>
      <c r="C949" t="s">
        <v>100</v>
      </c>
      <c r="D949" t="s">
        <v>68</v>
      </c>
      <c r="E949" t="s">
        <v>29</v>
      </c>
      <c r="F949" t="s">
        <v>28</v>
      </c>
      <c r="G949">
        <v>1</v>
      </c>
      <c r="H949" s="10">
        <f>_xlfn.XLOOKUP(E949,Table18[Product],Table18[Unit_Price])</f>
        <v>120</v>
      </c>
      <c r="I949" s="10">
        <f>_xlfn.XLOOKUP(E949,Table18[Product],Table18[Cost_Price])</f>
        <v>60</v>
      </c>
      <c r="J949" s="10">
        <v>32</v>
      </c>
      <c r="K949" s="10">
        <f t="shared" si="43"/>
        <v>88</v>
      </c>
      <c r="L949" s="10">
        <f t="shared" si="44"/>
        <v>28</v>
      </c>
      <c r="M949" t="s">
        <v>64</v>
      </c>
      <c r="N949" t="s">
        <v>58</v>
      </c>
      <c r="O949" t="s">
        <v>67</v>
      </c>
      <c r="P949">
        <v>5</v>
      </c>
    </row>
    <row r="950" spans="1:16" x14ac:dyDescent="0.25">
      <c r="A950" t="str">
        <f t="shared" si="42"/>
        <v>ORD0949</v>
      </c>
      <c r="B950" s="3">
        <v>46231</v>
      </c>
      <c r="C950" t="s">
        <v>81</v>
      </c>
      <c r="D950" t="s">
        <v>52</v>
      </c>
      <c r="E950" t="s">
        <v>37</v>
      </c>
      <c r="F950" t="s">
        <v>35</v>
      </c>
      <c r="G950">
        <v>2</v>
      </c>
      <c r="H950" s="10">
        <f>_xlfn.XLOOKUP(E950,Table18[Product],Table18[Unit_Price])</f>
        <v>160</v>
      </c>
      <c r="I950" s="10">
        <f>_xlfn.XLOOKUP(E950,Table18[Product],Table18[Cost_Price])</f>
        <v>80</v>
      </c>
      <c r="J950" s="10">
        <v>5</v>
      </c>
      <c r="K950" s="10">
        <f t="shared" si="43"/>
        <v>315</v>
      </c>
      <c r="L950" s="10">
        <f t="shared" si="44"/>
        <v>155</v>
      </c>
      <c r="M950" t="s">
        <v>64</v>
      </c>
      <c r="N950" t="s">
        <v>50</v>
      </c>
      <c r="O950" t="s">
        <v>51</v>
      </c>
      <c r="P950">
        <v>4</v>
      </c>
    </row>
    <row r="951" spans="1:16" x14ac:dyDescent="0.25">
      <c r="A951" t="str">
        <f t="shared" si="42"/>
        <v>ORD0950</v>
      </c>
      <c r="B951" s="3">
        <v>46229</v>
      </c>
      <c r="C951" t="s">
        <v>84</v>
      </c>
      <c r="D951" t="s">
        <v>66</v>
      </c>
      <c r="E951" t="s">
        <v>19</v>
      </c>
      <c r="F951" t="s">
        <v>17</v>
      </c>
      <c r="G951">
        <v>1</v>
      </c>
      <c r="H951" s="10">
        <f>_xlfn.XLOOKUP(E951,Table18[Product],Table18[Unit_Price])</f>
        <v>200</v>
      </c>
      <c r="I951" s="10">
        <f>_xlfn.XLOOKUP(E951,Table18[Product],Table18[Cost_Price])</f>
        <v>100</v>
      </c>
      <c r="J951" s="10">
        <v>32</v>
      </c>
      <c r="K951" s="10">
        <f t="shared" si="43"/>
        <v>168</v>
      </c>
      <c r="L951" s="10">
        <f t="shared" si="44"/>
        <v>68</v>
      </c>
      <c r="M951" t="s">
        <v>64</v>
      </c>
      <c r="N951" t="s">
        <v>50</v>
      </c>
      <c r="O951" t="s">
        <v>71</v>
      </c>
      <c r="P951">
        <v>5</v>
      </c>
    </row>
    <row r="952" spans="1:16" x14ac:dyDescent="0.25">
      <c r="A952" t="str">
        <f t="shared" si="42"/>
        <v>ORD0951</v>
      </c>
      <c r="B952" s="3">
        <v>46035</v>
      </c>
      <c r="C952" t="s">
        <v>98</v>
      </c>
      <c r="D952" t="s">
        <v>72</v>
      </c>
      <c r="E952" t="s">
        <v>19</v>
      </c>
      <c r="F952" t="s">
        <v>17</v>
      </c>
      <c r="G952">
        <v>4</v>
      </c>
      <c r="H952" s="10">
        <f>_xlfn.XLOOKUP(E952,Table18[Product],Table18[Unit_Price])</f>
        <v>200</v>
      </c>
      <c r="I952" s="10">
        <f>_xlfn.XLOOKUP(E952,Table18[Product],Table18[Cost_Price])</f>
        <v>100</v>
      </c>
      <c r="J952" s="10">
        <v>36</v>
      </c>
      <c r="K952" s="10">
        <f t="shared" si="43"/>
        <v>764</v>
      </c>
      <c r="L952" s="10">
        <f t="shared" si="44"/>
        <v>364</v>
      </c>
      <c r="M952" t="s">
        <v>53</v>
      </c>
      <c r="N952" t="s">
        <v>54</v>
      </c>
      <c r="O952" t="s">
        <v>62</v>
      </c>
      <c r="P952">
        <v>5</v>
      </c>
    </row>
    <row r="953" spans="1:16" x14ac:dyDescent="0.25">
      <c r="A953" t="str">
        <f t="shared" si="42"/>
        <v>ORD0952</v>
      </c>
      <c r="B953" s="3">
        <v>46226</v>
      </c>
      <c r="C953" t="s">
        <v>82</v>
      </c>
      <c r="D953" t="s">
        <v>68</v>
      </c>
      <c r="E953" t="s">
        <v>39</v>
      </c>
      <c r="F953" t="s">
        <v>40</v>
      </c>
      <c r="G953">
        <v>5</v>
      </c>
      <c r="H953" s="10">
        <f>_xlfn.XLOOKUP(E953,Table18[Product],Table18[Unit_Price])</f>
        <v>240</v>
      </c>
      <c r="I953" s="10">
        <f>_xlfn.XLOOKUP(E953,Table18[Product],Table18[Cost_Price])</f>
        <v>120</v>
      </c>
      <c r="J953" s="10">
        <v>4</v>
      </c>
      <c r="K953" s="10">
        <f t="shared" si="43"/>
        <v>1196</v>
      </c>
      <c r="L953" s="10">
        <f t="shared" si="44"/>
        <v>596</v>
      </c>
      <c r="M953" t="s">
        <v>49</v>
      </c>
      <c r="N953" t="s">
        <v>54</v>
      </c>
      <c r="O953" t="s">
        <v>71</v>
      </c>
      <c r="P953">
        <v>3</v>
      </c>
    </row>
    <row r="954" spans="1:16" x14ac:dyDescent="0.25">
      <c r="A954" t="str">
        <f t="shared" si="42"/>
        <v>ORD0953</v>
      </c>
      <c r="B954" s="3">
        <v>46090</v>
      </c>
      <c r="C954" t="s">
        <v>81</v>
      </c>
      <c r="D954" t="s">
        <v>66</v>
      </c>
      <c r="E954" t="s">
        <v>18</v>
      </c>
      <c r="F954" t="s">
        <v>17</v>
      </c>
      <c r="G954">
        <v>5</v>
      </c>
      <c r="H954" s="10">
        <f>_xlfn.XLOOKUP(E954,Table18[Product],Table18[Unit_Price])</f>
        <v>180</v>
      </c>
      <c r="I954" s="10">
        <f>_xlfn.XLOOKUP(E954,Table18[Product],Table18[Cost_Price])</f>
        <v>90</v>
      </c>
      <c r="J954" s="10">
        <v>40</v>
      </c>
      <c r="K954" s="10">
        <f t="shared" si="43"/>
        <v>860</v>
      </c>
      <c r="L954" s="10">
        <f t="shared" si="44"/>
        <v>410</v>
      </c>
      <c r="M954" t="s">
        <v>49</v>
      </c>
      <c r="N954" t="s">
        <v>50</v>
      </c>
      <c r="O954" t="s">
        <v>71</v>
      </c>
      <c r="P954">
        <v>3</v>
      </c>
    </row>
    <row r="955" spans="1:16" x14ac:dyDescent="0.25">
      <c r="A955" t="str">
        <f t="shared" si="42"/>
        <v>ORD0954</v>
      </c>
      <c r="B955" s="3">
        <v>46139</v>
      </c>
      <c r="C955" t="s">
        <v>82</v>
      </c>
      <c r="D955" t="s">
        <v>56</v>
      </c>
      <c r="E955" t="s">
        <v>41</v>
      </c>
      <c r="F955" t="s">
        <v>40</v>
      </c>
      <c r="G955">
        <v>1</v>
      </c>
      <c r="H955" s="10">
        <f>_xlfn.XLOOKUP(E955,Table18[Product],Table18[Unit_Price])</f>
        <v>100</v>
      </c>
      <c r="I955" s="10">
        <f>_xlfn.XLOOKUP(E955,Table18[Product],Table18[Cost_Price])</f>
        <v>50</v>
      </c>
      <c r="J955" s="10">
        <v>19</v>
      </c>
      <c r="K955" s="10">
        <f t="shared" si="43"/>
        <v>81</v>
      </c>
      <c r="L955" s="10">
        <f t="shared" si="44"/>
        <v>31</v>
      </c>
      <c r="M955" t="s">
        <v>61</v>
      </c>
      <c r="N955" t="s">
        <v>58</v>
      </c>
      <c r="O955" t="s">
        <v>75</v>
      </c>
      <c r="P955">
        <v>4</v>
      </c>
    </row>
    <row r="956" spans="1:16" x14ac:dyDescent="0.25">
      <c r="A956" t="str">
        <f t="shared" si="42"/>
        <v>ORD0955</v>
      </c>
      <c r="B956" s="3">
        <v>46298</v>
      </c>
      <c r="C956" t="s">
        <v>79</v>
      </c>
      <c r="D956" t="s">
        <v>56</v>
      </c>
      <c r="E956" t="s">
        <v>41</v>
      </c>
      <c r="F956" t="s">
        <v>40</v>
      </c>
      <c r="G956">
        <v>2</v>
      </c>
      <c r="H956" s="10">
        <f>_xlfn.XLOOKUP(E956,Table18[Product],Table18[Unit_Price])</f>
        <v>100</v>
      </c>
      <c r="I956" s="10">
        <f>_xlfn.XLOOKUP(E956,Table18[Product],Table18[Cost_Price])</f>
        <v>50</v>
      </c>
      <c r="J956" s="10">
        <v>20</v>
      </c>
      <c r="K956" s="10">
        <f t="shared" si="43"/>
        <v>180</v>
      </c>
      <c r="L956" s="10">
        <f t="shared" si="44"/>
        <v>80</v>
      </c>
      <c r="M956" t="s">
        <v>49</v>
      </c>
      <c r="N956" t="s">
        <v>50</v>
      </c>
      <c r="O956" t="s">
        <v>55</v>
      </c>
      <c r="P956">
        <v>4</v>
      </c>
    </row>
    <row r="957" spans="1:16" x14ac:dyDescent="0.25">
      <c r="A957" t="str">
        <f t="shared" si="42"/>
        <v>ORD0956</v>
      </c>
      <c r="B957" s="3">
        <v>46072</v>
      </c>
      <c r="C957" t="s">
        <v>96</v>
      </c>
      <c r="D957" t="s">
        <v>70</v>
      </c>
      <c r="E957" t="s">
        <v>39</v>
      </c>
      <c r="F957" t="s">
        <v>40</v>
      </c>
      <c r="G957">
        <v>2</v>
      </c>
      <c r="H957" s="10">
        <f>_xlfn.XLOOKUP(E957,Table18[Product],Table18[Unit_Price])</f>
        <v>240</v>
      </c>
      <c r="I957" s="10">
        <f>_xlfn.XLOOKUP(E957,Table18[Product],Table18[Cost_Price])</f>
        <v>120</v>
      </c>
      <c r="J957" s="10">
        <v>46</v>
      </c>
      <c r="K957" s="10">
        <f t="shared" si="43"/>
        <v>434</v>
      </c>
      <c r="L957" s="10">
        <f t="shared" si="44"/>
        <v>194</v>
      </c>
      <c r="M957" t="s">
        <v>57</v>
      </c>
      <c r="N957" t="s">
        <v>54</v>
      </c>
      <c r="O957" t="s">
        <v>69</v>
      </c>
      <c r="P957">
        <v>3</v>
      </c>
    </row>
    <row r="958" spans="1:16" x14ac:dyDescent="0.25">
      <c r="A958" t="str">
        <f t="shared" si="42"/>
        <v>ORD0957</v>
      </c>
      <c r="B958" s="3">
        <v>46045</v>
      </c>
      <c r="C958" t="s">
        <v>105</v>
      </c>
      <c r="D958" t="s">
        <v>48</v>
      </c>
      <c r="E958" t="s">
        <v>38</v>
      </c>
      <c r="F958" t="s">
        <v>35</v>
      </c>
      <c r="G958">
        <v>1</v>
      </c>
      <c r="H958" s="10">
        <f>_xlfn.XLOOKUP(E958,Table18[Product],Table18[Unit_Price])</f>
        <v>170</v>
      </c>
      <c r="I958" s="10">
        <f>_xlfn.XLOOKUP(E958,Table18[Product],Table18[Cost_Price])</f>
        <v>85</v>
      </c>
      <c r="J958" s="10">
        <v>6</v>
      </c>
      <c r="K958" s="10">
        <f t="shared" si="43"/>
        <v>164</v>
      </c>
      <c r="L958" s="10">
        <f t="shared" si="44"/>
        <v>79</v>
      </c>
      <c r="M958" t="s">
        <v>64</v>
      </c>
      <c r="N958" t="s">
        <v>58</v>
      </c>
      <c r="O958" t="s">
        <v>67</v>
      </c>
      <c r="P958">
        <v>3</v>
      </c>
    </row>
    <row r="959" spans="1:16" x14ac:dyDescent="0.25">
      <c r="A959" t="str">
        <f t="shared" si="42"/>
        <v>ORD0958</v>
      </c>
      <c r="B959" s="3">
        <v>46212</v>
      </c>
      <c r="C959" t="s">
        <v>87</v>
      </c>
      <c r="D959" t="s">
        <v>52</v>
      </c>
      <c r="E959" t="s">
        <v>37</v>
      </c>
      <c r="F959" t="s">
        <v>35</v>
      </c>
      <c r="G959">
        <v>2</v>
      </c>
      <c r="H959" s="10">
        <f>_xlfn.XLOOKUP(E959,Table18[Product],Table18[Unit_Price])</f>
        <v>160</v>
      </c>
      <c r="I959" s="10">
        <f>_xlfn.XLOOKUP(E959,Table18[Product],Table18[Cost_Price])</f>
        <v>80</v>
      </c>
      <c r="J959" s="10">
        <v>5</v>
      </c>
      <c r="K959" s="10">
        <f t="shared" si="43"/>
        <v>315</v>
      </c>
      <c r="L959" s="10">
        <f t="shared" si="44"/>
        <v>155</v>
      </c>
      <c r="M959" t="s">
        <v>61</v>
      </c>
      <c r="N959" t="s">
        <v>50</v>
      </c>
      <c r="O959" t="s">
        <v>65</v>
      </c>
      <c r="P959">
        <v>5</v>
      </c>
    </row>
    <row r="960" spans="1:16" x14ac:dyDescent="0.25">
      <c r="A960" t="str">
        <f t="shared" si="42"/>
        <v>ORD0959</v>
      </c>
      <c r="B960" s="3">
        <v>46192</v>
      </c>
      <c r="C960" t="s">
        <v>91</v>
      </c>
      <c r="D960" t="s">
        <v>60</v>
      </c>
      <c r="E960" t="s">
        <v>24</v>
      </c>
      <c r="F960" t="s">
        <v>23</v>
      </c>
      <c r="G960">
        <v>1</v>
      </c>
      <c r="H960" s="10">
        <f>_xlfn.XLOOKUP(E960,Table18[Product],Table18[Unit_Price])</f>
        <v>210</v>
      </c>
      <c r="I960" s="10">
        <f>_xlfn.XLOOKUP(E960,Table18[Product],Table18[Cost_Price])</f>
        <v>105</v>
      </c>
      <c r="J960" s="10">
        <v>18</v>
      </c>
      <c r="K960" s="10">
        <f t="shared" si="43"/>
        <v>192</v>
      </c>
      <c r="L960" s="10">
        <f t="shared" si="44"/>
        <v>87</v>
      </c>
      <c r="M960" t="s">
        <v>53</v>
      </c>
      <c r="N960" t="s">
        <v>50</v>
      </c>
      <c r="O960" t="s">
        <v>73</v>
      </c>
      <c r="P960">
        <v>5</v>
      </c>
    </row>
    <row r="961" spans="1:16" x14ac:dyDescent="0.25">
      <c r="A961" t="str">
        <f t="shared" si="42"/>
        <v>ORD0960</v>
      </c>
      <c r="B961" s="3">
        <v>46366</v>
      </c>
      <c r="C961" t="s">
        <v>80</v>
      </c>
      <c r="D961" t="s">
        <v>68</v>
      </c>
      <c r="E961" t="s">
        <v>19</v>
      </c>
      <c r="F961" t="s">
        <v>17</v>
      </c>
      <c r="G961">
        <v>2</v>
      </c>
      <c r="H961" s="10">
        <f>_xlfn.XLOOKUP(E961,Table18[Product],Table18[Unit_Price])</f>
        <v>200</v>
      </c>
      <c r="I961" s="10">
        <f>_xlfn.XLOOKUP(E961,Table18[Product],Table18[Cost_Price])</f>
        <v>100</v>
      </c>
      <c r="J961" s="10">
        <v>4</v>
      </c>
      <c r="K961" s="10">
        <f t="shared" si="43"/>
        <v>396</v>
      </c>
      <c r="L961" s="10">
        <f t="shared" si="44"/>
        <v>196</v>
      </c>
      <c r="M961" t="s">
        <v>49</v>
      </c>
      <c r="N961" t="s">
        <v>58</v>
      </c>
      <c r="O961" t="s">
        <v>62</v>
      </c>
      <c r="P961">
        <v>4</v>
      </c>
    </row>
    <row r="962" spans="1:16" x14ac:dyDescent="0.25">
      <c r="A962" t="str">
        <f t="shared" si="42"/>
        <v>ORD0961</v>
      </c>
      <c r="B962" s="3">
        <v>46135</v>
      </c>
      <c r="C962" t="s">
        <v>92</v>
      </c>
      <c r="D962" t="s">
        <v>56</v>
      </c>
      <c r="E962" t="s">
        <v>27</v>
      </c>
      <c r="F962" t="s">
        <v>28</v>
      </c>
      <c r="G962">
        <v>3</v>
      </c>
      <c r="H962" s="10">
        <f>_xlfn.XLOOKUP(E962,Table18[Product],Table18[Unit_Price])</f>
        <v>140</v>
      </c>
      <c r="I962" s="10">
        <f>_xlfn.XLOOKUP(E962,Table18[Product],Table18[Cost_Price])</f>
        <v>70</v>
      </c>
      <c r="J962" s="10">
        <v>12</v>
      </c>
      <c r="K962" s="10">
        <f t="shared" si="43"/>
        <v>408</v>
      </c>
      <c r="L962" s="10">
        <f t="shared" si="44"/>
        <v>198</v>
      </c>
      <c r="M962" t="s">
        <v>57</v>
      </c>
      <c r="N962" t="s">
        <v>50</v>
      </c>
      <c r="O962" t="s">
        <v>69</v>
      </c>
      <c r="P962">
        <v>4</v>
      </c>
    </row>
    <row r="963" spans="1:16" x14ac:dyDescent="0.25">
      <c r="A963" t="str">
        <f t="shared" ref="A963:A1001" si="45">"ORD"&amp;TEXT(ROW()-1,"0000")</f>
        <v>ORD0962</v>
      </c>
      <c r="B963" s="3">
        <v>46103</v>
      </c>
      <c r="C963" t="s">
        <v>102</v>
      </c>
      <c r="D963" t="s">
        <v>48</v>
      </c>
      <c r="E963" t="s">
        <v>33</v>
      </c>
      <c r="F963" t="s">
        <v>31</v>
      </c>
      <c r="G963">
        <v>3</v>
      </c>
      <c r="H963" s="10">
        <f>_xlfn.XLOOKUP(E963,Table18[Product],Table18[Unit_Price])</f>
        <v>150</v>
      </c>
      <c r="I963" s="10">
        <f>_xlfn.XLOOKUP(E963,Table18[Product],Table18[Cost_Price])</f>
        <v>75</v>
      </c>
      <c r="J963" s="10">
        <v>37</v>
      </c>
      <c r="K963" s="10">
        <f t="shared" ref="K963:K1003" si="46">(G963*H963)-J963</f>
        <v>413</v>
      </c>
      <c r="L963" s="10">
        <f t="shared" ref="L963:L1001" si="47">K963-(G963*I963)</f>
        <v>188</v>
      </c>
      <c r="M963" t="s">
        <v>57</v>
      </c>
      <c r="N963" t="s">
        <v>50</v>
      </c>
      <c r="O963" t="s">
        <v>75</v>
      </c>
      <c r="P963">
        <v>5</v>
      </c>
    </row>
    <row r="964" spans="1:16" x14ac:dyDescent="0.25">
      <c r="A964" t="str">
        <f t="shared" si="45"/>
        <v>ORD0963</v>
      </c>
      <c r="B964" s="3">
        <v>46364</v>
      </c>
      <c r="C964" t="s">
        <v>93</v>
      </c>
      <c r="D964" t="s">
        <v>48</v>
      </c>
      <c r="E964" t="s">
        <v>36</v>
      </c>
      <c r="F964" t="s">
        <v>35</v>
      </c>
      <c r="G964">
        <v>3</v>
      </c>
      <c r="H964" s="10">
        <f>_xlfn.XLOOKUP(E964,Table18[Product],Table18[Unit_Price])</f>
        <v>220</v>
      </c>
      <c r="I964" s="10">
        <f>_xlfn.XLOOKUP(E964,Table18[Product],Table18[Cost_Price])</f>
        <v>110</v>
      </c>
      <c r="J964" s="10">
        <v>17</v>
      </c>
      <c r="K964" s="10">
        <f t="shared" si="46"/>
        <v>643</v>
      </c>
      <c r="L964" s="10">
        <f t="shared" si="47"/>
        <v>313</v>
      </c>
      <c r="M964" t="s">
        <v>61</v>
      </c>
      <c r="N964" t="s">
        <v>54</v>
      </c>
      <c r="O964" t="s">
        <v>67</v>
      </c>
      <c r="P964">
        <v>4</v>
      </c>
    </row>
    <row r="965" spans="1:16" x14ac:dyDescent="0.25">
      <c r="A965" t="str">
        <f t="shared" si="45"/>
        <v>ORD0964</v>
      </c>
      <c r="B965" s="3">
        <v>46373</v>
      </c>
      <c r="C965" t="s">
        <v>76</v>
      </c>
      <c r="D965" t="s">
        <v>52</v>
      </c>
      <c r="E965" t="s">
        <v>16</v>
      </c>
      <c r="F965" t="s">
        <v>17</v>
      </c>
      <c r="G965">
        <v>3</v>
      </c>
      <c r="H965" s="10">
        <f>_xlfn.XLOOKUP(E965,Table18[Product],Table18[Unit_Price])</f>
        <v>120</v>
      </c>
      <c r="I965" s="10">
        <f>_xlfn.XLOOKUP(E965,Table18[Product],Table18[Cost_Price])</f>
        <v>60</v>
      </c>
      <c r="J965" s="10">
        <v>50</v>
      </c>
      <c r="K965" s="10">
        <f t="shared" si="46"/>
        <v>310</v>
      </c>
      <c r="L965" s="10">
        <f t="shared" si="47"/>
        <v>130</v>
      </c>
      <c r="M965" t="s">
        <v>64</v>
      </c>
      <c r="N965" t="s">
        <v>54</v>
      </c>
      <c r="O965" t="s">
        <v>71</v>
      </c>
      <c r="P965">
        <v>4</v>
      </c>
    </row>
    <row r="966" spans="1:16" x14ac:dyDescent="0.25">
      <c r="A966" t="str">
        <f t="shared" si="45"/>
        <v>ORD0965</v>
      </c>
      <c r="B966" s="3">
        <v>46213</v>
      </c>
      <c r="C966" t="s">
        <v>95</v>
      </c>
      <c r="D966" t="s">
        <v>68</v>
      </c>
      <c r="E966" t="s">
        <v>25</v>
      </c>
      <c r="F966" t="s">
        <v>26</v>
      </c>
      <c r="G966">
        <v>3</v>
      </c>
      <c r="H966" s="10">
        <f>_xlfn.XLOOKUP(E966,Table18[Product],Table18[Unit_Price])</f>
        <v>170</v>
      </c>
      <c r="I966" s="10">
        <f>_xlfn.XLOOKUP(E966,Table18[Product],Table18[Cost_Price])</f>
        <v>85</v>
      </c>
      <c r="J966" s="10">
        <v>47</v>
      </c>
      <c r="K966" s="10">
        <f t="shared" si="46"/>
        <v>463</v>
      </c>
      <c r="L966" s="10">
        <f t="shared" si="47"/>
        <v>208</v>
      </c>
      <c r="M966" t="s">
        <v>53</v>
      </c>
      <c r="N966" t="s">
        <v>58</v>
      </c>
      <c r="O966" t="s">
        <v>67</v>
      </c>
      <c r="P966">
        <v>4</v>
      </c>
    </row>
    <row r="967" spans="1:16" x14ac:dyDescent="0.25">
      <c r="A967" t="str">
        <f t="shared" si="45"/>
        <v>ORD0966</v>
      </c>
      <c r="B967" s="3">
        <v>46047</v>
      </c>
      <c r="C967" t="s">
        <v>82</v>
      </c>
      <c r="D967" t="s">
        <v>72</v>
      </c>
      <c r="E967" t="s">
        <v>24</v>
      </c>
      <c r="F967" t="s">
        <v>23</v>
      </c>
      <c r="G967">
        <v>1</v>
      </c>
      <c r="H967" s="10">
        <f>_xlfn.XLOOKUP(E967,Table18[Product],Table18[Unit_Price])</f>
        <v>210</v>
      </c>
      <c r="I967" s="10">
        <f>_xlfn.XLOOKUP(E967,Table18[Product],Table18[Cost_Price])</f>
        <v>105</v>
      </c>
      <c r="J967" s="10">
        <v>33</v>
      </c>
      <c r="K967" s="10">
        <f t="shared" si="46"/>
        <v>177</v>
      </c>
      <c r="L967" s="10">
        <f t="shared" si="47"/>
        <v>72</v>
      </c>
      <c r="M967" t="s">
        <v>57</v>
      </c>
      <c r="N967" t="s">
        <v>58</v>
      </c>
      <c r="O967" t="s">
        <v>62</v>
      </c>
      <c r="P967">
        <v>5</v>
      </c>
    </row>
    <row r="968" spans="1:16" x14ac:dyDescent="0.25">
      <c r="A968" t="str">
        <f t="shared" si="45"/>
        <v>ORD0967</v>
      </c>
      <c r="B968" s="3">
        <v>46370</v>
      </c>
      <c r="C968" t="s">
        <v>82</v>
      </c>
      <c r="D968" t="s">
        <v>70</v>
      </c>
      <c r="E968" t="s">
        <v>30</v>
      </c>
      <c r="F968" t="s">
        <v>31</v>
      </c>
      <c r="G968">
        <v>4</v>
      </c>
      <c r="H968" s="10">
        <f>_xlfn.XLOOKUP(E968,Table18[Product],Table18[Unit_Price])</f>
        <v>110</v>
      </c>
      <c r="I968" s="10">
        <f>_xlfn.XLOOKUP(E968,Table18[Product],Table18[Cost_Price])</f>
        <v>55</v>
      </c>
      <c r="J968" s="10">
        <v>13</v>
      </c>
      <c r="K968" s="10">
        <f t="shared" si="46"/>
        <v>427</v>
      </c>
      <c r="L968" s="10">
        <f t="shared" si="47"/>
        <v>207</v>
      </c>
      <c r="M968" t="s">
        <v>61</v>
      </c>
      <c r="N968" t="s">
        <v>54</v>
      </c>
      <c r="O968" t="s">
        <v>51</v>
      </c>
      <c r="P968">
        <v>5</v>
      </c>
    </row>
    <row r="969" spans="1:16" x14ac:dyDescent="0.25">
      <c r="A969" t="str">
        <f t="shared" si="45"/>
        <v>ORD0968</v>
      </c>
      <c r="B969" s="3">
        <v>46353</v>
      </c>
      <c r="C969" t="s">
        <v>94</v>
      </c>
      <c r="D969" t="s">
        <v>66</v>
      </c>
      <c r="E969" t="s">
        <v>22</v>
      </c>
      <c r="F969" t="s">
        <v>23</v>
      </c>
      <c r="G969">
        <v>5</v>
      </c>
      <c r="H969" s="10">
        <f>_xlfn.XLOOKUP(E969,Table18[Product],Table18[Unit_Price])</f>
        <v>190</v>
      </c>
      <c r="I969" s="10">
        <f>_xlfn.XLOOKUP(E969,Table18[Product],Table18[Cost_Price])</f>
        <v>95</v>
      </c>
      <c r="J969" s="10">
        <v>38</v>
      </c>
      <c r="K969" s="10">
        <f t="shared" si="46"/>
        <v>912</v>
      </c>
      <c r="L969" s="10">
        <f t="shared" si="47"/>
        <v>437</v>
      </c>
      <c r="M969" t="s">
        <v>49</v>
      </c>
      <c r="N969" t="s">
        <v>58</v>
      </c>
      <c r="O969" t="s">
        <v>73</v>
      </c>
      <c r="P969">
        <v>5</v>
      </c>
    </row>
    <row r="970" spans="1:16" x14ac:dyDescent="0.25">
      <c r="A970" t="str">
        <f t="shared" si="45"/>
        <v>ORD0969</v>
      </c>
      <c r="B970" s="3">
        <v>46093</v>
      </c>
      <c r="C970" t="s">
        <v>87</v>
      </c>
      <c r="D970" t="s">
        <v>56</v>
      </c>
      <c r="E970" t="s">
        <v>27</v>
      </c>
      <c r="F970" t="s">
        <v>28</v>
      </c>
      <c r="G970">
        <v>1</v>
      </c>
      <c r="H970" s="10">
        <f>_xlfn.XLOOKUP(E970,Table18[Product],Table18[Unit_Price])</f>
        <v>140</v>
      </c>
      <c r="I970" s="10">
        <f>_xlfn.XLOOKUP(E970,Table18[Product],Table18[Cost_Price])</f>
        <v>70</v>
      </c>
      <c r="J970" s="10">
        <v>40</v>
      </c>
      <c r="K970" s="10">
        <f t="shared" si="46"/>
        <v>100</v>
      </c>
      <c r="L970" s="10">
        <f t="shared" si="47"/>
        <v>30</v>
      </c>
      <c r="M970" t="s">
        <v>57</v>
      </c>
      <c r="N970" t="s">
        <v>54</v>
      </c>
      <c r="O970" t="s">
        <v>75</v>
      </c>
      <c r="P970">
        <v>5</v>
      </c>
    </row>
    <row r="971" spans="1:16" x14ac:dyDescent="0.25">
      <c r="A971" t="str">
        <f t="shared" si="45"/>
        <v>ORD0970</v>
      </c>
      <c r="B971" s="3">
        <v>46221</v>
      </c>
      <c r="C971" t="s">
        <v>104</v>
      </c>
      <c r="D971" t="s">
        <v>72</v>
      </c>
      <c r="E971" t="s">
        <v>20</v>
      </c>
      <c r="F971" t="s">
        <v>17</v>
      </c>
      <c r="G971">
        <v>2</v>
      </c>
      <c r="H971" s="10">
        <f>_xlfn.XLOOKUP(E971,Table18[Product],Table18[Unit_Price])</f>
        <v>150</v>
      </c>
      <c r="I971" s="10">
        <f>_xlfn.XLOOKUP(E971,Table18[Product],Table18[Cost_Price])</f>
        <v>75</v>
      </c>
      <c r="J971" s="10">
        <v>5</v>
      </c>
      <c r="K971" s="10">
        <f t="shared" si="46"/>
        <v>295</v>
      </c>
      <c r="L971" s="10">
        <f t="shared" si="47"/>
        <v>145</v>
      </c>
      <c r="M971" t="s">
        <v>57</v>
      </c>
      <c r="N971" t="s">
        <v>54</v>
      </c>
      <c r="O971" t="s">
        <v>55</v>
      </c>
      <c r="P971">
        <v>3</v>
      </c>
    </row>
    <row r="972" spans="1:16" x14ac:dyDescent="0.25">
      <c r="A972" t="str">
        <f t="shared" si="45"/>
        <v>ORD0971</v>
      </c>
      <c r="B972" s="3">
        <v>46339</v>
      </c>
      <c r="C972" t="s">
        <v>85</v>
      </c>
      <c r="D972" t="s">
        <v>74</v>
      </c>
      <c r="E972" t="s">
        <v>39</v>
      </c>
      <c r="F972" t="s">
        <v>40</v>
      </c>
      <c r="G972">
        <v>1</v>
      </c>
      <c r="H972" s="10">
        <f>_xlfn.XLOOKUP(E972,Table18[Product],Table18[Unit_Price])</f>
        <v>240</v>
      </c>
      <c r="I972" s="10">
        <f>_xlfn.XLOOKUP(E972,Table18[Product],Table18[Cost_Price])</f>
        <v>120</v>
      </c>
      <c r="J972" s="10">
        <v>49</v>
      </c>
      <c r="K972" s="10">
        <f t="shared" si="46"/>
        <v>191</v>
      </c>
      <c r="L972" s="10">
        <f t="shared" si="47"/>
        <v>71</v>
      </c>
      <c r="M972" t="s">
        <v>53</v>
      </c>
      <c r="N972" t="s">
        <v>58</v>
      </c>
      <c r="O972" t="s">
        <v>73</v>
      </c>
      <c r="P972">
        <v>3</v>
      </c>
    </row>
    <row r="973" spans="1:16" x14ac:dyDescent="0.25">
      <c r="A973" t="str">
        <f t="shared" si="45"/>
        <v>ORD0972</v>
      </c>
      <c r="B973" s="3">
        <v>46147</v>
      </c>
      <c r="C973" t="s">
        <v>91</v>
      </c>
      <c r="D973" t="s">
        <v>52</v>
      </c>
      <c r="E973" t="s">
        <v>24</v>
      </c>
      <c r="F973" t="s">
        <v>23</v>
      </c>
      <c r="G973">
        <v>4</v>
      </c>
      <c r="H973" s="10">
        <f>_xlfn.XLOOKUP(E973,Table18[Product],Table18[Unit_Price])</f>
        <v>210</v>
      </c>
      <c r="I973" s="10">
        <f>_xlfn.XLOOKUP(E973,Table18[Product],Table18[Cost_Price])</f>
        <v>105</v>
      </c>
      <c r="J973" s="10">
        <v>6</v>
      </c>
      <c r="K973" s="10">
        <f t="shared" si="46"/>
        <v>834</v>
      </c>
      <c r="L973" s="10">
        <f t="shared" si="47"/>
        <v>414</v>
      </c>
      <c r="M973" t="s">
        <v>61</v>
      </c>
      <c r="N973" t="s">
        <v>58</v>
      </c>
      <c r="O973" t="s">
        <v>65</v>
      </c>
      <c r="P973">
        <v>3</v>
      </c>
    </row>
    <row r="974" spans="1:16" x14ac:dyDescent="0.25">
      <c r="A974" t="str">
        <f t="shared" si="45"/>
        <v>ORD0973</v>
      </c>
      <c r="B974" s="3">
        <v>46162</v>
      </c>
      <c r="C974" t="s">
        <v>104</v>
      </c>
      <c r="D974" t="s">
        <v>66</v>
      </c>
      <c r="E974" t="s">
        <v>20</v>
      </c>
      <c r="F974" t="s">
        <v>17</v>
      </c>
      <c r="G974">
        <v>4</v>
      </c>
      <c r="H974" s="10">
        <f>_xlfn.XLOOKUP(E974,Table18[Product],Table18[Unit_Price])</f>
        <v>150</v>
      </c>
      <c r="I974" s="10">
        <f>_xlfn.XLOOKUP(E974,Table18[Product],Table18[Cost_Price])</f>
        <v>75</v>
      </c>
      <c r="J974" s="10">
        <v>46</v>
      </c>
      <c r="K974" s="10">
        <f t="shared" si="46"/>
        <v>554</v>
      </c>
      <c r="L974" s="10">
        <f t="shared" si="47"/>
        <v>254</v>
      </c>
      <c r="M974" t="s">
        <v>57</v>
      </c>
      <c r="N974" t="s">
        <v>50</v>
      </c>
      <c r="O974" t="s">
        <v>73</v>
      </c>
      <c r="P974">
        <v>4</v>
      </c>
    </row>
    <row r="975" spans="1:16" x14ac:dyDescent="0.25">
      <c r="A975" t="str">
        <f t="shared" si="45"/>
        <v>ORD0974</v>
      </c>
      <c r="B975" s="3">
        <v>46266</v>
      </c>
      <c r="C975" t="s">
        <v>105</v>
      </c>
      <c r="D975" t="s">
        <v>63</v>
      </c>
      <c r="E975" t="s">
        <v>42</v>
      </c>
      <c r="F975" t="s">
        <v>40</v>
      </c>
      <c r="G975">
        <v>5</v>
      </c>
      <c r="H975" s="10">
        <f>_xlfn.XLOOKUP(E975,Table18[Product],Table18[Unit_Price])</f>
        <v>80</v>
      </c>
      <c r="I975" s="10">
        <f>_xlfn.XLOOKUP(E975,Table18[Product],Table18[Cost_Price])</f>
        <v>40</v>
      </c>
      <c r="J975" s="10">
        <v>22</v>
      </c>
      <c r="K975" s="10">
        <f t="shared" si="46"/>
        <v>378</v>
      </c>
      <c r="L975" s="10">
        <f t="shared" si="47"/>
        <v>178</v>
      </c>
      <c r="M975" t="s">
        <v>64</v>
      </c>
      <c r="N975" t="s">
        <v>58</v>
      </c>
      <c r="O975" t="s">
        <v>75</v>
      </c>
      <c r="P975">
        <v>5</v>
      </c>
    </row>
    <row r="976" spans="1:16" x14ac:dyDescent="0.25">
      <c r="A976" t="str">
        <f t="shared" si="45"/>
        <v>ORD0975</v>
      </c>
      <c r="B976" s="3">
        <v>46251</v>
      </c>
      <c r="C976" t="s">
        <v>91</v>
      </c>
      <c r="D976" t="s">
        <v>72</v>
      </c>
      <c r="E976" t="s">
        <v>18</v>
      </c>
      <c r="F976" t="s">
        <v>17</v>
      </c>
      <c r="G976">
        <v>1</v>
      </c>
      <c r="H976" s="10">
        <f>_xlfn.XLOOKUP(E976,Table18[Product],Table18[Unit_Price])</f>
        <v>180</v>
      </c>
      <c r="I976" s="10">
        <f>_xlfn.XLOOKUP(E976,Table18[Product],Table18[Cost_Price])</f>
        <v>90</v>
      </c>
      <c r="J976" s="10">
        <v>12</v>
      </c>
      <c r="K976" s="10">
        <f t="shared" si="46"/>
        <v>168</v>
      </c>
      <c r="L976" s="10">
        <f t="shared" si="47"/>
        <v>78</v>
      </c>
      <c r="M976" t="s">
        <v>49</v>
      </c>
      <c r="N976" t="s">
        <v>54</v>
      </c>
      <c r="O976" t="s">
        <v>65</v>
      </c>
      <c r="P976">
        <v>4</v>
      </c>
    </row>
    <row r="977" spans="1:16" x14ac:dyDescent="0.25">
      <c r="A977" t="str">
        <f t="shared" si="45"/>
        <v>ORD0976</v>
      </c>
      <c r="B977" s="3">
        <v>46116</v>
      </c>
      <c r="C977" t="s">
        <v>103</v>
      </c>
      <c r="D977" t="s">
        <v>52</v>
      </c>
      <c r="E977" t="s">
        <v>27</v>
      </c>
      <c r="F977" t="s">
        <v>28</v>
      </c>
      <c r="G977">
        <v>4</v>
      </c>
      <c r="H977" s="10">
        <f>_xlfn.XLOOKUP(E977,Table18[Product],Table18[Unit_Price])</f>
        <v>140</v>
      </c>
      <c r="I977" s="10">
        <f>_xlfn.XLOOKUP(E977,Table18[Product],Table18[Cost_Price])</f>
        <v>70</v>
      </c>
      <c r="J977" s="10">
        <v>19</v>
      </c>
      <c r="K977" s="10">
        <f t="shared" si="46"/>
        <v>541</v>
      </c>
      <c r="L977" s="10">
        <f t="shared" si="47"/>
        <v>261</v>
      </c>
      <c r="M977" t="s">
        <v>61</v>
      </c>
      <c r="N977" t="s">
        <v>54</v>
      </c>
      <c r="O977" t="s">
        <v>59</v>
      </c>
      <c r="P977">
        <v>4</v>
      </c>
    </row>
    <row r="978" spans="1:16" x14ac:dyDescent="0.25">
      <c r="A978" t="str">
        <f t="shared" si="45"/>
        <v>ORD0977</v>
      </c>
      <c r="B978" s="3">
        <v>46138</v>
      </c>
      <c r="C978" t="s">
        <v>90</v>
      </c>
      <c r="D978" t="s">
        <v>48</v>
      </c>
      <c r="E978" t="s">
        <v>32</v>
      </c>
      <c r="F978" t="s">
        <v>31</v>
      </c>
      <c r="G978">
        <v>2</v>
      </c>
      <c r="H978" s="10">
        <f>_xlfn.XLOOKUP(E978,Table18[Product],Table18[Unit_Price])</f>
        <v>130</v>
      </c>
      <c r="I978" s="10">
        <f>_xlfn.XLOOKUP(E978,Table18[Product],Table18[Cost_Price])</f>
        <v>65</v>
      </c>
      <c r="J978" s="10">
        <v>19</v>
      </c>
      <c r="K978" s="10">
        <f t="shared" si="46"/>
        <v>241</v>
      </c>
      <c r="L978" s="10">
        <f t="shared" si="47"/>
        <v>111</v>
      </c>
      <c r="M978" t="s">
        <v>61</v>
      </c>
      <c r="N978" t="s">
        <v>54</v>
      </c>
      <c r="O978" t="s">
        <v>69</v>
      </c>
      <c r="P978">
        <v>3</v>
      </c>
    </row>
    <row r="979" spans="1:16" x14ac:dyDescent="0.25">
      <c r="A979" t="str">
        <f t="shared" si="45"/>
        <v>ORD0978</v>
      </c>
      <c r="B979" s="3">
        <v>46184</v>
      </c>
      <c r="C979" t="s">
        <v>97</v>
      </c>
      <c r="D979" t="s">
        <v>68</v>
      </c>
      <c r="E979" t="s">
        <v>34</v>
      </c>
      <c r="F979" t="s">
        <v>35</v>
      </c>
      <c r="G979">
        <v>5</v>
      </c>
      <c r="H979" s="10">
        <f>_xlfn.XLOOKUP(E979,Table18[Product],Table18[Unit_Price])</f>
        <v>180</v>
      </c>
      <c r="I979" s="10">
        <f>_xlfn.XLOOKUP(E979,Table18[Product],Table18[Cost_Price])</f>
        <v>90</v>
      </c>
      <c r="J979" s="10">
        <v>34</v>
      </c>
      <c r="K979" s="10">
        <f t="shared" si="46"/>
        <v>866</v>
      </c>
      <c r="L979" s="10">
        <f t="shared" si="47"/>
        <v>416</v>
      </c>
      <c r="M979" t="s">
        <v>49</v>
      </c>
      <c r="N979" t="s">
        <v>58</v>
      </c>
      <c r="O979" t="s">
        <v>55</v>
      </c>
      <c r="P979">
        <v>3</v>
      </c>
    </row>
    <row r="980" spans="1:16" x14ac:dyDescent="0.25">
      <c r="A980" t="str">
        <f t="shared" si="45"/>
        <v>ORD0979</v>
      </c>
      <c r="B980" s="3">
        <v>46260</v>
      </c>
      <c r="C980" t="s">
        <v>92</v>
      </c>
      <c r="D980" t="s">
        <v>63</v>
      </c>
      <c r="E980" t="s">
        <v>16</v>
      </c>
      <c r="F980" t="s">
        <v>17</v>
      </c>
      <c r="G980">
        <v>1</v>
      </c>
      <c r="H980" s="10">
        <f>_xlfn.XLOOKUP(E980,Table18[Product],Table18[Unit_Price])</f>
        <v>120</v>
      </c>
      <c r="I980" s="10">
        <f>_xlfn.XLOOKUP(E980,Table18[Product],Table18[Cost_Price])</f>
        <v>60</v>
      </c>
      <c r="J980" s="10">
        <v>25</v>
      </c>
      <c r="K980" s="10">
        <f t="shared" si="46"/>
        <v>95</v>
      </c>
      <c r="L980" s="10">
        <f t="shared" si="47"/>
        <v>35</v>
      </c>
      <c r="M980" t="s">
        <v>57</v>
      </c>
      <c r="N980" t="s">
        <v>58</v>
      </c>
      <c r="O980" t="s">
        <v>65</v>
      </c>
      <c r="P980">
        <v>3</v>
      </c>
    </row>
    <row r="981" spans="1:16" x14ac:dyDescent="0.25">
      <c r="A981" t="str">
        <f t="shared" si="45"/>
        <v>ORD0980</v>
      </c>
      <c r="B981" s="3">
        <v>46138</v>
      </c>
      <c r="C981" t="s">
        <v>92</v>
      </c>
      <c r="D981" t="s">
        <v>63</v>
      </c>
      <c r="E981" t="s">
        <v>32</v>
      </c>
      <c r="F981" t="s">
        <v>31</v>
      </c>
      <c r="G981">
        <v>5</v>
      </c>
      <c r="H981" s="10">
        <f>_xlfn.XLOOKUP(E981,Table18[Product],Table18[Unit_Price])</f>
        <v>130</v>
      </c>
      <c r="I981" s="10">
        <f>_xlfn.XLOOKUP(E981,Table18[Product],Table18[Cost_Price])</f>
        <v>65</v>
      </c>
      <c r="J981" s="10">
        <v>25</v>
      </c>
      <c r="K981" s="10">
        <f t="shared" si="46"/>
        <v>625</v>
      </c>
      <c r="L981" s="10">
        <f t="shared" si="47"/>
        <v>300</v>
      </c>
      <c r="M981" t="s">
        <v>64</v>
      </c>
      <c r="N981" t="s">
        <v>54</v>
      </c>
      <c r="O981" t="s">
        <v>51</v>
      </c>
      <c r="P981">
        <v>3</v>
      </c>
    </row>
    <row r="982" spans="1:16" x14ac:dyDescent="0.25">
      <c r="A982" t="str">
        <f t="shared" si="45"/>
        <v>ORD0981</v>
      </c>
      <c r="B982" s="3">
        <v>46321</v>
      </c>
      <c r="C982" t="s">
        <v>96</v>
      </c>
      <c r="D982" t="s">
        <v>74</v>
      </c>
      <c r="E982" t="s">
        <v>34</v>
      </c>
      <c r="F982" t="s">
        <v>35</v>
      </c>
      <c r="G982">
        <v>2</v>
      </c>
      <c r="H982" s="10">
        <f>_xlfn.XLOOKUP(E982,Table18[Product],Table18[Unit_Price])</f>
        <v>180</v>
      </c>
      <c r="I982" s="10">
        <f>_xlfn.XLOOKUP(E982,Table18[Product],Table18[Cost_Price])</f>
        <v>90</v>
      </c>
      <c r="J982" s="10">
        <v>7</v>
      </c>
      <c r="K982" s="10">
        <f t="shared" si="46"/>
        <v>353</v>
      </c>
      <c r="L982" s="10">
        <f t="shared" si="47"/>
        <v>173</v>
      </c>
      <c r="M982" t="s">
        <v>49</v>
      </c>
      <c r="N982" t="s">
        <v>54</v>
      </c>
      <c r="O982" t="s">
        <v>51</v>
      </c>
      <c r="P982">
        <v>3</v>
      </c>
    </row>
    <row r="983" spans="1:16" x14ac:dyDescent="0.25">
      <c r="A983" t="str">
        <f t="shared" si="45"/>
        <v>ORD0982</v>
      </c>
      <c r="B983" s="3">
        <v>46060</v>
      </c>
      <c r="C983" t="s">
        <v>97</v>
      </c>
      <c r="D983" t="s">
        <v>74</v>
      </c>
      <c r="E983" t="s">
        <v>38</v>
      </c>
      <c r="F983" t="s">
        <v>35</v>
      </c>
      <c r="G983">
        <v>5</v>
      </c>
      <c r="H983" s="10">
        <f>_xlfn.XLOOKUP(E983,Table18[Product],Table18[Unit_Price])</f>
        <v>170</v>
      </c>
      <c r="I983" s="10">
        <f>_xlfn.XLOOKUP(E983,Table18[Product],Table18[Cost_Price])</f>
        <v>85</v>
      </c>
      <c r="J983" s="10">
        <v>18</v>
      </c>
      <c r="K983" s="10">
        <f t="shared" si="46"/>
        <v>832</v>
      </c>
      <c r="L983" s="10">
        <f t="shared" si="47"/>
        <v>407</v>
      </c>
      <c r="M983" t="s">
        <v>53</v>
      </c>
      <c r="N983" t="s">
        <v>54</v>
      </c>
      <c r="O983" t="s">
        <v>51</v>
      </c>
      <c r="P983">
        <v>3</v>
      </c>
    </row>
    <row r="984" spans="1:16" x14ac:dyDescent="0.25">
      <c r="A984" t="str">
        <f t="shared" si="45"/>
        <v>ORD0983</v>
      </c>
      <c r="B984" s="3">
        <v>46237</v>
      </c>
      <c r="C984" t="s">
        <v>87</v>
      </c>
      <c r="D984" t="s">
        <v>72</v>
      </c>
      <c r="E984" t="s">
        <v>39</v>
      </c>
      <c r="F984" t="s">
        <v>40</v>
      </c>
      <c r="G984">
        <v>5</v>
      </c>
      <c r="H984" s="10">
        <f>_xlfn.XLOOKUP(E984,Table18[Product],Table18[Unit_Price])</f>
        <v>240</v>
      </c>
      <c r="I984" s="10">
        <f>_xlfn.XLOOKUP(E984,Table18[Product],Table18[Cost_Price])</f>
        <v>120</v>
      </c>
      <c r="J984" s="10">
        <v>31</v>
      </c>
      <c r="K984" s="10">
        <f t="shared" si="46"/>
        <v>1169</v>
      </c>
      <c r="L984" s="10">
        <f t="shared" si="47"/>
        <v>569</v>
      </c>
      <c r="M984" t="s">
        <v>57</v>
      </c>
      <c r="N984" t="s">
        <v>58</v>
      </c>
      <c r="O984" t="s">
        <v>73</v>
      </c>
      <c r="P984">
        <v>3</v>
      </c>
    </row>
    <row r="985" spans="1:16" x14ac:dyDescent="0.25">
      <c r="A985" t="str">
        <f t="shared" si="45"/>
        <v>ORD0984</v>
      </c>
      <c r="B985" s="3">
        <v>46349</v>
      </c>
      <c r="C985" t="s">
        <v>103</v>
      </c>
      <c r="D985" t="s">
        <v>66</v>
      </c>
      <c r="E985" t="s">
        <v>24</v>
      </c>
      <c r="F985" t="s">
        <v>23</v>
      </c>
      <c r="G985">
        <v>3</v>
      </c>
      <c r="H985" s="10">
        <f>_xlfn.XLOOKUP(E985,Table18[Product],Table18[Unit_Price])</f>
        <v>210</v>
      </c>
      <c r="I985" s="10">
        <f>_xlfn.XLOOKUP(E985,Table18[Product],Table18[Cost_Price])</f>
        <v>105</v>
      </c>
      <c r="J985" s="10">
        <v>32</v>
      </c>
      <c r="K985" s="10">
        <f t="shared" si="46"/>
        <v>598</v>
      </c>
      <c r="L985" s="10">
        <f t="shared" si="47"/>
        <v>283</v>
      </c>
      <c r="M985" t="s">
        <v>57</v>
      </c>
      <c r="N985" t="s">
        <v>58</v>
      </c>
      <c r="O985" t="s">
        <v>55</v>
      </c>
      <c r="P985">
        <v>5</v>
      </c>
    </row>
    <row r="986" spans="1:16" x14ac:dyDescent="0.25">
      <c r="A986" t="str">
        <f t="shared" si="45"/>
        <v>ORD0985</v>
      </c>
      <c r="B986" s="3">
        <v>46042</v>
      </c>
      <c r="C986" t="s">
        <v>101</v>
      </c>
      <c r="D986" t="s">
        <v>60</v>
      </c>
      <c r="E986" t="s">
        <v>42</v>
      </c>
      <c r="F986" t="s">
        <v>40</v>
      </c>
      <c r="G986">
        <v>5</v>
      </c>
      <c r="H986" s="10">
        <f>_xlfn.XLOOKUP(E986,Table18[Product],Table18[Unit_Price])</f>
        <v>80</v>
      </c>
      <c r="I986" s="10">
        <f>_xlfn.XLOOKUP(E986,Table18[Product],Table18[Cost_Price])</f>
        <v>40</v>
      </c>
      <c r="J986" s="10">
        <v>41</v>
      </c>
      <c r="K986" s="10">
        <f t="shared" si="46"/>
        <v>359</v>
      </c>
      <c r="L986" s="10">
        <f t="shared" si="47"/>
        <v>159</v>
      </c>
      <c r="M986" t="s">
        <v>57</v>
      </c>
      <c r="N986" t="s">
        <v>58</v>
      </c>
      <c r="O986" t="s">
        <v>73</v>
      </c>
      <c r="P986">
        <v>4</v>
      </c>
    </row>
    <row r="987" spans="1:16" x14ac:dyDescent="0.25">
      <c r="A987" t="str">
        <f t="shared" si="45"/>
        <v>ORD0986</v>
      </c>
      <c r="B987" s="3">
        <v>46360</v>
      </c>
      <c r="C987" t="s">
        <v>87</v>
      </c>
      <c r="D987" t="s">
        <v>74</v>
      </c>
      <c r="E987" t="s">
        <v>39</v>
      </c>
      <c r="F987" t="s">
        <v>40</v>
      </c>
      <c r="G987">
        <v>5</v>
      </c>
      <c r="H987" s="10">
        <f>_xlfn.XLOOKUP(E987,Table18[Product],Table18[Unit_Price])</f>
        <v>240</v>
      </c>
      <c r="I987" s="10">
        <f>_xlfn.XLOOKUP(E987,Table18[Product],Table18[Cost_Price])</f>
        <v>120</v>
      </c>
      <c r="J987" s="10">
        <v>25</v>
      </c>
      <c r="K987" s="10">
        <f t="shared" si="46"/>
        <v>1175</v>
      </c>
      <c r="L987" s="10">
        <f t="shared" si="47"/>
        <v>575</v>
      </c>
      <c r="M987" t="s">
        <v>61</v>
      </c>
      <c r="N987" t="s">
        <v>58</v>
      </c>
      <c r="O987" t="s">
        <v>69</v>
      </c>
      <c r="P987">
        <v>3</v>
      </c>
    </row>
    <row r="988" spans="1:16" x14ac:dyDescent="0.25">
      <c r="A988" t="str">
        <f t="shared" si="45"/>
        <v>ORD0987</v>
      </c>
      <c r="B988" s="3">
        <v>46224</v>
      </c>
      <c r="C988" t="s">
        <v>102</v>
      </c>
      <c r="D988" t="s">
        <v>56</v>
      </c>
      <c r="E988" t="s">
        <v>32</v>
      </c>
      <c r="F988" t="s">
        <v>31</v>
      </c>
      <c r="G988">
        <v>5</v>
      </c>
      <c r="H988" s="10">
        <f>_xlfn.XLOOKUP(E988,Table18[Product],Table18[Unit_Price])</f>
        <v>130</v>
      </c>
      <c r="I988" s="10">
        <f>_xlfn.XLOOKUP(E988,Table18[Product],Table18[Cost_Price])</f>
        <v>65</v>
      </c>
      <c r="J988" s="10">
        <v>41</v>
      </c>
      <c r="K988" s="10">
        <f t="shared" si="46"/>
        <v>609</v>
      </c>
      <c r="L988" s="10">
        <f t="shared" si="47"/>
        <v>284</v>
      </c>
      <c r="M988" t="s">
        <v>53</v>
      </c>
      <c r="N988" t="s">
        <v>54</v>
      </c>
      <c r="O988" t="s">
        <v>71</v>
      </c>
      <c r="P988">
        <v>4</v>
      </c>
    </row>
    <row r="989" spans="1:16" x14ac:dyDescent="0.25">
      <c r="A989" t="str">
        <f t="shared" si="45"/>
        <v>ORD0988</v>
      </c>
      <c r="B989" s="3">
        <v>46081</v>
      </c>
      <c r="C989" t="s">
        <v>83</v>
      </c>
      <c r="D989" t="s">
        <v>72</v>
      </c>
      <c r="E989" t="s">
        <v>42</v>
      </c>
      <c r="F989" t="s">
        <v>40</v>
      </c>
      <c r="G989">
        <v>5</v>
      </c>
      <c r="H989" s="10">
        <f>_xlfn.XLOOKUP(E989,Table18[Product],Table18[Unit_Price])</f>
        <v>80</v>
      </c>
      <c r="I989" s="10">
        <f>_xlfn.XLOOKUP(E989,Table18[Product],Table18[Cost_Price])</f>
        <v>40</v>
      </c>
      <c r="J989" s="10">
        <v>1</v>
      </c>
      <c r="K989" s="10">
        <f t="shared" si="46"/>
        <v>399</v>
      </c>
      <c r="L989" s="10">
        <f t="shared" si="47"/>
        <v>199</v>
      </c>
      <c r="M989" t="s">
        <v>61</v>
      </c>
      <c r="N989" t="s">
        <v>54</v>
      </c>
      <c r="O989" t="s">
        <v>65</v>
      </c>
      <c r="P989">
        <v>5</v>
      </c>
    </row>
    <row r="990" spans="1:16" x14ac:dyDescent="0.25">
      <c r="A990" t="str">
        <f t="shared" si="45"/>
        <v>ORD0989</v>
      </c>
      <c r="B990" s="3">
        <v>46305</v>
      </c>
      <c r="C990" t="s">
        <v>82</v>
      </c>
      <c r="D990" t="s">
        <v>52</v>
      </c>
      <c r="E990" t="s">
        <v>33</v>
      </c>
      <c r="F990" t="s">
        <v>31</v>
      </c>
      <c r="G990">
        <v>1</v>
      </c>
      <c r="H990" s="10">
        <f>_xlfn.XLOOKUP(E990,Table18[Product],Table18[Unit_Price])</f>
        <v>150</v>
      </c>
      <c r="I990" s="10">
        <f>_xlfn.XLOOKUP(E990,Table18[Product],Table18[Cost_Price])</f>
        <v>75</v>
      </c>
      <c r="J990" s="10">
        <v>17</v>
      </c>
      <c r="K990" s="10">
        <f t="shared" si="46"/>
        <v>133</v>
      </c>
      <c r="L990" s="10">
        <f t="shared" si="47"/>
        <v>58</v>
      </c>
      <c r="M990" t="s">
        <v>64</v>
      </c>
      <c r="N990" t="s">
        <v>58</v>
      </c>
      <c r="O990" t="s">
        <v>69</v>
      </c>
      <c r="P990">
        <v>3</v>
      </c>
    </row>
    <row r="991" spans="1:16" x14ac:dyDescent="0.25">
      <c r="A991" t="str">
        <f t="shared" si="45"/>
        <v>ORD0990</v>
      </c>
      <c r="B991" s="3">
        <v>46289</v>
      </c>
      <c r="C991" t="s">
        <v>78</v>
      </c>
      <c r="D991" t="s">
        <v>63</v>
      </c>
      <c r="E991" t="s">
        <v>29</v>
      </c>
      <c r="F991" t="s">
        <v>28</v>
      </c>
      <c r="G991">
        <v>1</v>
      </c>
      <c r="H991" s="10">
        <f>_xlfn.XLOOKUP(E991,Table18[Product],Table18[Unit_Price])</f>
        <v>120</v>
      </c>
      <c r="I991" s="10">
        <f>_xlfn.XLOOKUP(E991,Table18[Product],Table18[Cost_Price])</f>
        <v>60</v>
      </c>
      <c r="J991" s="10">
        <v>25</v>
      </c>
      <c r="K991" s="10">
        <f t="shared" si="46"/>
        <v>95</v>
      </c>
      <c r="L991" s="10">
        <f t="shared" si="47"/>
        <v>35</v>
      </c>
      <c r="M991" t="s">
        <v>49</v>
      </c>
      <c r="N991" t="s">
        <v>54</v>
      </c>
      <c r="O991" t="s">
        <v>73</v>
      </c>
      <c r="P991">
        <v>3</v>
      </c>
    </row>
    <row r="992" spans="1:16" x14ac:dyDescent="0.25">
      <c r="A992" t="str">
        <f t="shared" si="45"/>
        <v>ORD0991</v>
      </c>
      <c r="B992" s="3">
        <v>46256</v>
      </c>
      <c r="C992" t="s">
        <v>96</v>
      </c>
      <c r="D992" t="s">
        <v>63</v>
      </c>
      <c r="E992" t="s">
        <v>27</v>
      </c>
      <c r="F992" t="s">
        <v>28</v>
      </c>
      <c r="G992">
        <v>1</v>
      </c>
      <c r="H992" s="10">
        <f>_xlfn.XLOOKUP(E992,Table18[Product],Table18[Unit_Price])</f>
        <v>140</v>
      </c>
      <c r="I992" s="10">
        <f>_xlfn.XLOOKUP(E992,Table18[Product],Table18[Cost_Price])</f>
        <v>70</v>
      </c>
      <c r="J992" s="10">
        <v>12</v>
      </c>
      <c r="K992" s="10">
        <f t="shared" si="46"/>
        <v>128</v>
      </c>
      <c r="L992" s="10">
        <f t="shared" si="47"/>
        <v>58</v>
      </c>
      <c r="M992" t="s">
        <v>61</v>
      </c>
      <c r="N992" t="s">
        <v>54</v>
      </c>
      <c r="O992" t="s">
        <v>55</v>
      </c>
      <c r="P992">
        <v>5</v>
      </c>
    </row>
    <row r="993" spans="1:16" x14ac:dyDescent="0.25">
      <c r="A993" t="str">
        <f t="shared" si="45"/>
        <v>ORD0992</v>
      </c>
      <c r="B993" s="3">
        <v>46089</v>
      </c>
      <c r="C993" t="s">
        <v>81</v>
      </c>
      <c r="D993" t="s">
        <v>66</v>
      </c>
      <c r="E993" t="s">
        <v>37</v>
      </c>
      <c r="F993" t="s">
        <v>35</v>
      </c>
      <c r="G993">
        <v>3</v>
      </c>
      <c r="H993" s="10">
        <f>_xlfn.XLOOKUP(E993,Table18[Product],Table18[Unit_Price])</f>
        <v>160</v>
      </c>
      <c r="I993" s="10">
        <f>_xlfn.XLOOKUP(E993,Table18[Product],Table18[Cost_Price])</f>
        <v>80</v>
      </c>
      <c r="J993" s="10">
        <v>32</v>
      </c>
      <c r="K993" s="10">
        <f t="shared" si="46"/>
        <v>448</v>
      </c>
      <c r="L993" s="10">
        <f t="shared" si="47"/>
        <v>208</v>
      </c>
      <c r="M993" t="s">
        <v>61</v>
      </c>
      <c r="N993" t="s">
        <v>50</v>
      </c>
      <c r="O993" t="s">
        <v>69</v>
      </c>
      <c r="P993">
        <v>4</v>
      </c>
    </row>
    <row r="994" spans="1:16" x14ac:dyDescent="0.25">
      <c r="A994" t="str">
        <f t="shared" si="45"/>
        <v>ORD0993</v>
      </c>
      <c r="B994" s="3">
        <v>46337</v>
      </c>
      <c r="C994" t="s">
        <v>101</v>
      </c>
      <c r="D994" t="s">
        <v>68</v>
      </c>
      <c r="E994" t="s">
        <v>33</v>
      </c>
      <c r="F994" t="s">
        <v>31</v>
      </c>
      <c r="G994">
        <v>1</v>
      </c>
      <c r="H994" s="10">
        <f>_xlfn.XLOOKUP(E994,Table18[Product],Table18[Unit_Price])</f>
        <v>150</v>
      </c>
      <c r="I994" s="10">
        <f>_xlfn.XLOOKUP(E994,Table18[Product],Table18[Cost_Price])</f>
        <v>75</v>
      </c>
      <c r="J994" s="10">
        <v>50</v>
      </c>
      <c r="K994" s="10">
        <f t="shared" si="46"/>
        <v>100</v>
      </c>
      <c r="L994" s="10">
        <f t="shared" si="47"/>
        <v>25</v>
      </c>
      <c r="M994" t="s">
        <v>53</v>
      </c>
      <c r="N994" t="s">
        <v>54</v>
      </c>
      <c r="O994" t="s">
        <v>55</v>
      </c>
      <c r="P994">
        <v>4</v>
      </c>
    </row>
    <row r="995" spans="1:16" x14ac:dyDescent="0.25">
      <c r="A995" t="str">
        <f t="shared" si="45"/>
        <v>ORD0994</v>
      </c>
      <c r="B995" s="3">
        <v>46338</v>
      </c>
      <c r="C995" t="s">
        <v>102</v>
      </c>
      <c r="D995" t="s">
        <v>63</v>
      </c>
      <c r="E995" t="s">
        <v>32</v>
      </c>
      <c r="F995" t="s">
        <v>31</v>
      </c>
      <c r="G995">
        <v>1</v>
      </c>
      <c r="H995" s="10">
        <f>_xlfn.XLOOKUP(E995,Table18[Product],Table18[Unit_Price])</f>
        <v>130</v>
      </c>
      <c r="I995" s="10">
        <f>_xlfn.XLOOKUP(E995,Table18[Product],Table18[Cost_Price])</f>
        <v>65</v>
      </c>
      <c r="J995" s="10">
        <v>16</v>
      </c>
      <c r="K995" s="10">
        <f t="shared" si="46"/>
        <v>114</v>
      </c>
      <c r="L995" s="10">
        <f t="shared" si="47"/>
        <v>49</v>
      </c>
      <c r="M995" t="s">
        <v>61</v>
      </c>
      <c r="N995" t="s">
        <v>50</v>
      </c>
      <c r="O995" t="s">
        <v>67</v>
      </c>
      <c r="P995">
        <v>3</v>
      </c>
    </row>
    <row r="996" spans="1:16" x14ac:dyDescent="0.25">
      <c r="A996" t="str">
        <f t="shared" si="45"/>
        <v>ORD0995</v>
      </c>
      <c r="B996" s="3">
        <v>46194</v>
      </c>
      <c r="C996" t="s">
        <v>105</v>
      </c>
      <c r="D996" t="s">
        <v>66</v>
      </c>
      <c r="E996" t="s">
        <v>22</v>
      </c>
      <c r="F996" t="s">
        <v>23</v>
      </c>
      <c r="G996">
        <v>2</v>
      </c>
      <c r="H996" s="10">
        <f>_xlfn.XLOOKUP(E996,Table18[Product],Table18[Unit_Price])</f>
        <v>190</v>
      </c>
      <c r="I996" s="10">
        <f>_xlfn.XLOOKUP(E996,Table18[Product],Table18[Cost_Price])</f>
        <v>95</v>
      </c>
      <c r="J996" s="10">
        <v>28</v>
      </c>
      <c r="K996" s="10">
        <f t="shared" si="46"/>
        <v>352</v>
      </c>
      <c r="L996" s="10">
        <f t="shared" si="47"/>
        <v>162</v>
      </c>
      <c r="M996" t="s">
        <v>61</v>
      </c>
      <c r="N996" t="s">
        <v>50</v>
      </c>
      <c r="O996" t="s">
        <v>67</v>
      </c>
      <c r="P996">
        <v>5</v>
      </c>
    </row>
    <row r="997" spans="1:16" x14ac:dyDescent="0.25">
      <c r="A997" t="str">
        <f t="shared" si="45"/>
        <v>ORD0996</v>
      </c>
      <c r="B997" s="3">
        <v>46220</v>
      </c>
      <c r="C997" t="s">
        <v>77</v>
      </c>
      <c r="D997" t="s">
        <v>70</v>
      </c>
      <c r="E997" t="s">
        <v>37</v>
      </c>
      <c r="F997" t="s">
        <v>35</v>
      </c>
      <c r="G997">
        <v>2</v>
      </c>
      <c r="H997" s="10">
        <f>_xlfn.XLOOKUP(E997,Table18[Product],Table18[Unit_Price])</f>
        <v>160</v>
      </c>
      <c r="I997" s="10">
        <f>_xlfn.XLOOKUP(E997,Table18[Product],Table18[Cost_Price])</f>
        <v>80</v>
      </c>
      <c r="J997" s="10">
        <v>32</v>
      </c>
      <c r="K997" s="10">
        <f t="shared" si="46"/>
        <v>288</v>
      </c>
      <c r="L997" s="10">
        <f t="shared" si="47"/>
        <v>128</v>
      </c>
      <c r="M997" t="s">
        <v>53</v>
      </c>
      <c r="N997" t="s">
        <v>58</v>
      </c>
      <c r="O997" t="s">
        <v>51</v>
      </c>
      <c r="P997">
        <v>5</v>
      </c>
    </row>
    <row r="998" spans="1:16" x14ac:dyDescent="0.25">
      <c r="A998" t="str">
        <f t="shared" si="45"/>
        <v>ORD0997</v>
      </c>
      <c r="B998" s="3">
        <v>46103</v>
      </c>
      <c r="C998" t="s">
        <v>102</v>
      </c>
      <c r="D998" t="s">
        <v>52</v>
      </c>
      <c r="E998" t="s">
        <v>19</v>
      </c>
      <c r="F998" t="s">
        <v>17</v>
      </c>
      <c r="G998">
        <v>4</v>
      </c>
      <c r="H998" s="10">
        <f>_xlfn.XLOOKUP(E998,Table18[Product],Table18[Unit_Price])</f>
        <v>200</v>
      </c>
      <c r="I998" s="10">
        <f>_xlfn.XLOOKUP(E998,Table18[Product],Table18[Cost_Price])</f>
        <v>100</v>
      </c>
      <c r="J998" s="10">
        <v>3</v>
      </c>
      <c r="K998" s="10">
        <f t="shared" si="46"/>
        <v>797</v>
      </c>
      <c r="L998" s="10">
        <f t="shared" si="47"/>
        <v>397</v>
      </c>
      <c r="M998" t="s">
        <v>49</v>
      </c>
      <c r="N998" t="s">
        <v>54</v>
      </c>
      <c r="O998" t="s">
        <v>71</v>
      </c>
      <c r="P998">
        <v>4</v>
      </c>
    </row>
    <row r="999" spans="1:16" x14ac:dyDescent="0.25">
      <c r="A999" t="str">
        <f t="shared" si="45"/>
        <v>ORD0998</v>
      </c>
      <c r="B999" s="3">
        <v>46161</v>
      </c>
      <c r="C999" t="s">
        <v>92</v>
      </c>
      <c r="D999" t="s">
        <v>70</v>
      </c>
      <c r="E999" t="s">
        <v>37</v>
      </c>
      <c r="F999" t="s">
        <v>35</v>
      </c>
      <c r="G999">
        <v>2</v>
      </c>
      <c r="H999" s="10">
        <f>_xlfn.XLOOKUP(E999,Table18[Product],Table18[Unit_Price])</f>
        <v>160</v>
      </c>
      <c r="I999" s="10">
        <f>_xlfn.XLOOKUP(E999,Table18[Product],Table18[Cost_Price])</f>
        <v>80</v>
      </c>
      <c r="J999" s="10">
        <v>42</v>
      </c>
      <c r="K999" s="10">
        <f t="shared" si="46"/>
        <v>278</v>
      </c>
      <c r="L999" s="10">
        <f t="shared" si="47"/>
        <v>118</v>
      </c>
      <c r="M999" t="s">
        <v>61</v>
      </c>
      <c r="N999" t="s">
        <v>50</v>
      </c>
      <c r="O999" t="s">
        <v>55</v>
      </c>
      <c r="P999">
        <v>3</v>
      </c>
    </row>
    <row r="1000" spans="1:16" x14ac:dyDescent="0.25">
      <c r="A1000" t="str">
        <f t="shared" si="45"/>
        <v>ORD0999</v>
      </c>
      <c r="B1000" s="3">
        <v>46060</v>
      </c>
      <c r="C1000" t="s">
        <v>103</v>
      </c>
      <c r="D1000" t="s">
        <v>72</v>
      </c>
      <c r="E1000" t="s">
        <v>24</v>
      </c>
      <c r="F1000" t="s">
        <v>23</v>
      </c>
      <c r="G1000">
        <v>4</v>
      </c>
      <c r="H1000" s="10">
        <f>_xlfn.XLOOKUP(E1000,Table18[Product],Table18[Unit_Price])</f>
        <v>210</v>
      </c>
      <c r="I1000" s="10">
        <f>_xlfn.XLOOKUP(E1000,Table18[Product],Table18[Cost_Price])</f>
        <v>105</v>
      </c>
      <c r="J1000" s="10">
        <v>46</v>
      </c>
      <c r="K1000" s="10">
        <f t="shared" si="46"/>
        <v>794</v>
      </c>
      <c r="L1000" s="10">
        <f t="shared" si="47"/>
        <v>374</v>
      </c>
      <c r="M1000" t="s">
        <v>57</v>
      </c>
      <c r="N1000" t="s">
        <v>54</v>
      </c>
      <c r="O1000" t="s">
        <v>71</v>
      </c>
      <c r="P1000">
        <v>3</v>
      </c>
    </row>
    <row r="1001" spans="1:16" x14ac:dyDescent="0.25">
      <c r="A1001" t="str">
        <f t="shared" si="45"/>
        <v>ORD1000</v>
      </c>
      <c r="B1001" s="3">
        <v>46055</v>
      </c>
      <c r="C1001" t="s">
        <v>92</v>
      </c>
      <c r="D1001" t="s">
        <v>48</v>
      </c>
      <c r="E1001" t="s">
        <v>27</v>
      </c>
      <c r="F1001" t="s">
        <v>28</v>
      </c>
      <c r="G1001">
        <v>2</v>
      </c>
      <c r="H1001" s="10">
        <f>_xlfn.XLOOKUP(E1001,Table18[Product],Table18[Unit_Price])</f>
        <v>140</v>
      </c>
      <c r="I1001" s="10">
        <f>_xlfn.XLOOKUP(E1001,Table18[Product],Table18[Cost_Price])</f>
        <v>70</v>
      </c>
      <c r="J1001" s="10">
        <v>22</v>
      </c>
      <c r="K1001" s="10">
        <f t="shared" si="46"/>
        <v>258</v>
      </c>
      <c r="L1001" s="10">
        <f t="shared" si="47"/>
        <v>118</v>
      </c>
      <c r="M1001" t="s">
        <v>53</v>
      </c>
      <c r="N1001" t="s">
        <v>50</v>
      </c>
      <c r="O1001" t="s">
        <v>51</v>
      </c>
      <c r="P1001">
        <v>5</v>
      </c>
    </row>
  </sheetData>
  <dataValidations count="1">
    <dataValidation type="list" allowBlank="1" showInputMessage="1" showErrorMessage="1" sqref="E1002:E1048576" xr:uid="{6E5A534A-F40C-4647-BD6A-6784E636459F}">
      <formula1>$E:$E</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6">
        <x14:dataValidation type="list" allowBlank="1" showInputMessage="1" showErrorMessage="1" xr:uid="{78978637-9333-4D5F-9736-516D8502EA6D}">
          <x14:formula1>
            <xm:f>Lists!$A:$A</xm:f>
          </x14:formula1>
          <xm:sqref>E2:E1001</xm:sqref>
        </x14:dataValidation>
        <x14:dataValidation type="list" allowBlank="1" showInputMessage="1" showErrorMessage="1" xr:uid="{5DA30C64-D1DA-46D6-BD08-57A762D7036C}">
          <x14:formula1>
            <xm:f>Lists!$F$2:$F$11</xm:f>
          </x14:formula1>
          <xm:sqref>D2:D1048576</xm:sqref>
        </x14:dataValidation>
        <x14:dataValidation type="list" allowBlank="1" showInputMessage="1" showErrorMessage="1" xr:uid="{EF9E819B-4633-47D9-B383-BB9973FC2CC8}">
          <x14:formula1>
            <xm:f>Lists!$H$2:$H$6</xm:f>
          </x14:formula1>
          <xm:sqref>M2:M1048576</xm:sqref>
        </x14:dataValidation>
        <x14:dataValidation type="list" allowBlank="1" showInputMessage="1" showErrorMessage="1" xr:uid="{720FB350-D1DC-4724-A8F5-44ECB8A53081}">
          <x14:formula1>
            <xm:f>Lists!$J$2:$J$4</xm:f>
          </x14:formula1>
          <xm:sqref>N2:N1048576</xm:sqref>
        </x14:dataValidation>
        <x14:dataValidation type="list" allowBlank="1" showInputMessage="1" showErrorMessage="1" xr:uid="{0BB828D1-AFDB-4A88-BB7B-6350E77CC5DA}">
          <x14:formula1>
            <xm:f>Lists!$N$2:$N$11</xm:f>
          </x14:formula1>
          <xm:sqref>O2:O1048576</xm:sqref>
        </x14:dataValidation>
        <x14:dataValidation type="list" allowBlank="1" showInputMessage="1" showErrorMessage="1" xr:uid="{6E5D4EE0-55EC-4447-9EDC-196E3C39FBC3}">
          <x14:formula1>
            <xm:f>Lists!$L$2:$L$6</xm:f>
          </x14:formula1>
          <xm:sqref>P2:P1048576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8A141-1A13-4975-B7CD-46127D60280A}">
  <dimension ref="A2:A30"/>
  <sheetViews>
    <sheetView workbookViewId="0">
      <selection activeCell="D13" sqref="D13"/>
    </sheetView>
  </sheetViews>
  <sheetFormatPr defaultRowHeight="13.8" x14ac:dyDescent="0.25"/>
  <cols>
    <col min="1" max="1" width="19.69921875" bestFit="1" customWidth="1"/>
  </cols>
  <sheetData>
    <row r="2" spans="1:1" x14ac:dyDescent="0.25">
      <c r="A2" t="s">
        <v>109</v>
      </c>
    </row>
    <row r="3" spans="1:1" x14ac:dyDescent="0.25">
      <c r="A3" s="10">
        <v>39148</v>
      </c>
    </row>
    <row r="7" spans="1:1" x14ac:dyDescent="0.25">
      <c r="A7" t="s">
        <v>111</v>
      </c>
    </row>
    <row r="8" spans="1:1" x14ac:dyDescent="0.25">
      <c r="A8" s="7">
        <v>86</v>
      </c>
    </row>
    <row r="13" spans="1:1" x14ac:dyDescent="0.25">
      <c r="A13" t="s">
        <v>112</v>
      </c>
    </row>
    <row r="14" spans="1:1" x14ac:dyDescent="0.25">
      <c r="A14" s="7">
        <v>86</v>
      </c>
    </row>
    <row r="17" spans="1:1" x14ac:dyDescent="0.25">
      <c r="A17" t="s">
        <v>113</v>
      </c>
    </row>
    <row r="18" spans="1:1" x14ac:dyDescent="0.25">
      <c r="A18" s="10">
        <v>18458</v>
      </c>
    </row>
    <row r="21" spans="1:1" x14ac:dyDescent="0.25">
      <c r="A21" t="s">
        <v>114</v>
      </c>
    </row>
    <row r="22" spans="1:1" x14ac:dyDescent="0.25">
      <c r="A22" s="4">
        <v>455.2093023255814</v>
      </c>
    </row>
    <row r="26" spans="1:1" x14ac:dyDescent="0.25">
      <c r="A26" s="10">
        <f>GETPIVOTDATA("Total_Sales",Sheet1!$A$2)</f>
        <v>39148</v>
      </c>
    </row>
    <row r="27" spans="1:1" x14ac:dyDescent="0.25">
      <c r="A27">
        <f>GETPIVOTDATA("Order_ID",Sheet1!$A$7)</f>
        <v>86</v>
      </c>
    </row>
    <row r="28" spans="1:1" x14ac:dyDescent="0.25">
      <c r="A28">
        <f>GETPIVOTDATA("Customer_Name",Sheet1!$A$13)</f>
        <v>86</v>
      </c>
    </row>
    <row r="29" spans="1:1" x14ac:dyDescent="0.25">
      <c r="A29" s="10">
        <f>GETPIVOTDATA("Profit",Sheet1!$A$17)</f>
        <v>18458</v>
      </c>
    </row>
    <row r="30" spans="1:1" x14ac:dyDescent="0.25">
      <c r="A30" s="4">
        <f>GETPIVOTDATA("Total_Sales",Sheet1!$A$21)</f>
        <v>455.2093023255814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5115C-EDBA-4D7C-9707-02756183B177}">
  <dimension ref="A1:N25"/>
  <sheetViews>
    <sheetView workbookViewId="0">
      <selection activeCell="C26" sqref="C26"/>
    </sheetView>
  </sheetViews>
  <sheetFormatPr defaultRowHeight="13.8" x14ac:dyDescent="0.25"/>
  <cols>
    <col min="1" max="1" width="16.59765625" bestFit="1" customWidth="1"/>
    <col min="2" max="2" width="17.59765625" customWidth="1"/>
    <col min="4" max="4" width="13.09765625" customWidth="1"/>
    <col min="5" max="5" width="17.59765625" customWidth="1"/>
    <col min="7" max="7" width="13.09765625" customWidth="1"/>
    <col min="8" max="8" width="17.09765625" bestFit="1" customWidth="1"/>
    <col min="10" max="10" width="13.09765625" bestFit="1" customWidth="1"/>
    <col min="11" max="11" width="17.59765625" customWidth="1"/>
    <col min="13" max="13" width="13.09765625" customWidth="1"/>
    <col min="14" max="14" width="18.8984375" customWidth="1"/>
  </cols>
  <sheetData>
    <row r="1" spans="1:14" x14ac:dyDescent="0.25">
      <c r="A1" s="5" t="s">
        <v>106</v>
      </c>
      <c r="B1" t="s">
        <v>108</v>
      </c>
      <c r="D1" s="5" t="s">
        <v>106</v>
      </c>
      <c r="E1" t="s">
        <v>108</v>
      </c>
      <c r="G1" s="5" t="s">
        <v>106</v>
      </c>
      <c r="H1" t="s">
        <v>108</v>
      </c>
      <c r="J1" s="5" t="s">
        <v>106</v>
      </c>
      <c r="K1" t="s">
        <v>108</v>
      </c>
      <c r="M1" s="5" t="s">
        <v>106</v>
      </c>
      <c r="N1" t="s">
        <v>119</v>
      </c>
    </row>
    <row r="2" spans="1:14" x14ac:dyDescent="0.25">
      <c r="A2" s="6" t="s">
        <v>20</v>
      </c>
      <c r="B2" s="10">
        <v>7817</v>
      </c>
      <c r="D2" s="6" t="s">
        <v>31</v>
      </c>
      <c r="E2" s="10">
        <v>11365</v>
      </c>
      <c r="G2" s="6" t="s">
        <v>70</v>
      </c>
      <c r="H2" s="10">
        <v>3545</v>
      </c>
      <c r="J2" s="6" t="s">
        <v>20</v>
      </c>
      <c r="K2" s="10">
        <v>7817</v>
      </c>
      <c r="M2" s="6">
        <v>3</v>
      </c>
      <c r="N2" s="7">
        <v>26</v>
      </c>
    </row>
    <row r="3" spans="1:14" x14ac:dyDescent="0.25">
      <c r="A3" s="6" t="s">
        <v>30</v>
      </c>
      <c r="B3" s="10">
        <v>5302</v>
      </c>
      <c r="D3" s="6" t="s">
        <v>17</v>
      </c>
      <c r="E3" s="10">
        <v>31904</v>
      </c>
      <c r="G3" s="6" t="s">
        <v>66</v>
      </c>
      <c r="H3" s="10">
        <v>6538</v>
      </c>
      <c r="J3" s="6" t="s">
        <v>19</v>
      </c>
      <c r="K3" s="10">
        <v>7665</v>
      </c>
      <c r="M3" s="6">
        <v>4</v>
      </c>
      <c r="N3" s="7">
        <v>31</v>
      </c>
    </row>
    <row r="4" spans="1:14" x14ac:dyDescent="0.25">
      <c r="A4" s="6" t="s">
        <v>18</v>
      </c>
      <c r="B4" s="10">
        <v>5124</v>
      </c>
      <c r="D4" s="6" t="s">
        <v>107</v>
      </c>
      <c r="E4" s="10">
        <v>43269</v>
      </c>
      <c r="G4" s="6" t="s">
        <v>52</v>
      </c>
      <c r="H4" s="10">
        <v>4534</v>
      </c>
      <c r="J4" s="6" t="s">
        <v>21</v>
      </c>
      <c r="K4" s="10">
        <v>6763</v>
      </c>
      <c r="M4" s="6">
        <v>5</v>
      </c>
      <c r="N4" s="7">
        <v>29</v>
      </c>
    </row>
    <row r="5" spans="1:14" x14ac:dyDescent="0.25">
      <c r="A5" s="6" t="s">
        <v>32</v>
      </c>
      <c r="B5" s="10">
        <v>1164</v>
      </c>
      <c r="G5" s="6" t="s">
        <v>74</v>
      </c>
      <c r="H5" s="10">
        <v>3515</v>
      </c>
      <c r="J5" s="6" t="s">
        <v>30</v>
      </c>
      <c r="K5" s="10">
        <v>5302</v>
      </c>
      <c r="M5" s="6" t="s">
        <v>107</v>
      </c>
      <c r="N5" s="7">
        <v>86</v>
      </c>
    </row>
    <row r="6" spans="1:14" x14ac:dyDescent="0.25">
      <c r="A6" s="6" t="s">
        <v>33</v>
      </c>
      <c r="B6" s="10">
        <v>2938</v>
      </c>
      <c r="G6" s="6" t="s">
        <v>60</v>
      </c>
      <c r="H6" s="10">
        <v>4517</v>
      </c>
      <c r="J6" s="6" t="s">
        <v>18</v>
      </c>
      <c r="K6" s="10">
        <v>5124</v>
      </c>
    </row>
    <row r="7" spans="1:14" x14ac:dyDescent="0.25">
      <c r="A7" s="6" t="s">
        <v>16</v>
      </c>
      <c r="B7" s="10">
        <v>2375</v>
      </c>
      <c r="G7" s="6" t="s">
        <v>72</v>
      </c>
      <c r="H7" s="10">
        <v>3055</v>
      </c>
      <c r="J7" s="6" t="s">
        <v>33</v>
      </c>
      <c r="K7" s="10">
        <v>2938</v>
      </c>
    </row>
    <row r="8" spans="1:14" x14ac:dyDescent="0.25">
      <c r="A8" s="6" t="s">
        <v>19</v>
      </c>
      <c r="B8" s="10">
        <v>7665</v>
      </c>
      <c r="G8" s="6" t="s">
        <v>68</v>
      </c>
      <c r="H8" s="10">
        <v>3045</v>
      </c>
      <c r="J8" s="6" t="s">
        <v>16</v>
      </c>
      <c r="K8" s="10">
        <v>2375</v>
      </c>
    </row>
    <row r="9" spans="1:14" x14ac:dyDescent="0.25">
      <c r="A9" s="6" t="s">
        <v>21</v>
      </c>
      <c r="B9" s="10">
        <v>6763</v>
      </c>
      <c r="G9" s="6" t="s">
        <v>48</v>
      </c>
      <c r="H9" s="10">
        <v>6486</v>
      </c>
      <c r="J9" s="6" t="s">
        <v>32</v>
      </c>
      <c r="K9" s="10">
        <v>1164</v>
      </c>
    </row>
    <row r="10" spans="1:14" x14ac:dyDescent="0.25">
      <c r="A10" s="6" t="s">
        <v>107</v>
      </c>
      <c r="B10" s="10">
        <v>39148</v>
      </c>
      <c r="E10" s="9"/>
      <c r="G10" s="6" t="s">
        <v>63</v>
      </c>
      <c r="H10" s="10">
        <v>3913</v>
      </c>
      <c r="J10" s="6" t="s">
        <v>107</v>
      </c>
      <c r="K10" s="10">
        <v>39148</v>
      </c>
    </row>
    <row r="11" spans="1:14" x14ac:dyDescent="0.25">
      <c r="E11" s="9"/>
      <c r="G11" s="6" t="s">
        <v>107</v>
      </c>
      <c r="H11" s="10">
        <v>39148</v>
      </c>
    </row>
    <row r="12" spans="1:14" x14ac:dyDescent="0.25">
      <c r="D12" s="5" t="s">
        <v>106</v>
      </c>
      <c r="E12" s="9" t="s">
        <v>108</v>
      </c>
    </row>
    <row r="13" spans="1:14" x14ac:dyDescent="0.25">
      <c r="D13" s="6" t="s">
        <v>115</v>
      </c>
      <c r="E13" s="10">
        <v>11036</v>
      </c>
    </row>
    <row r="14" spans="1:14" x14ac:dyDescent="0.25">
      <c r="D14" s="6" t="s">
        <v>116</v>
      </c>
      <c r="E14" s="10">
        <v>8613</v>
      </c>
      <c r="G14" s="5" t="s">
        <v>106</v>
      </c>
      <c r="H14" t="s">
        <v>110</v>
      </c>
      <c r="J14" s="5" t="s">
        <v>106</v>
      </c>
      <c r="K14" t="s">
        <v>108</v>
      </c>
    </row>
    <row r="15" spans="1:14" x14ac:dyDescent="0.25">
      <c r="D15" s="6" t="s">
        <v>117</v>
      </c>
      <c r="E15" s="10">
        <v>12753</v>
      </c>
      <c r="G15" s="6" t="s">
        <v>49</v>
      </c>
      <c r="H15" s="7">
        <v>25</v>
      </c>
      <c r="J15" s="6" t="s">
        <v>51</v>
      </c>
      <c r="K15" s="10">
        <v>2924</v>
      </c>
    </row>
    <row r="16" spans="1:14" x14ac:dyDescent="0.25">
      <c r="D16" s="6" t="s">
        <v>118</v>
      </c>
      <c r="E16" s="10">
        <v>6746</v>
      </c>
      <c r="G16" s="6" t="s">
        <v>57</v>
      </c>
      <c r="H16" s="7">
        <v>25</v>
      </c>
      <c r="J16" s="6" t="s">
        <v>67</v>
      </c>
      <c r="K16" s="10">
        <v>3791</v>
      </c>
    </row>
    <row r="17" spans="4:11" x14ac:dyDescent="0.25">
      <c r="D17" s="6" t="s">
        <v>107</v>
      </c>
      <c r="E17" s="10">
        <v>39148</v>
      </c>
      <c r="G17" s="6" t="s">
        <v>53</v>
      </c>
      <c r="H17" s="7">
        <v>15</v>
      </c>
      <c r="J17" s="6" t="s">
        <v>73</v>
      </c>
      <c r="K17" s="10">
        <v>4975</v>
      </c>
    </row>
    <row r="18" spans="4:11" x14ac:dyDescent="0.25">
      <c r="G18" s="6" t="s">
        <v>64</v>
      </c>
      <c r="H18" s="7">
        <v>21</v>
      </c>
      <c r="J18" s="6" t="s">
        <v>62</v>
      </c>
      <c r="K18" s="10">
        <v>3317</v>
      </c>
    </row>
    <row r="19" spans="4:11" x14ac:dyDescent="0.25">
      <c r="G19" s="6" t="s">
        <v>107</v>
      </c>
      <c r="H19" s="7">
        <v>86</v>
      </c>
      <c r="J19" s="6" t="s">
        <v>75</v>
      </c>
      <c r="K19" s="10">
        <v>4389</v>
      </c>
    </row>
    <row r="20" spans="4:11" x14ac:dyDescent="0.25">
      <c r="J20" s="6" t="s">
        <v>55</v>
      </c>
      <c r="K20" s="10">
        <v>3024</v>
      </c>
    </row>
    <row r="21" spans="4:11" x14ac:dyDescent="0.25">
      <c r="J21" s="6" t="s">
        <v>59</v>
      </c>
      <c r="K21" s="10">
        <v>5283</v>
      </c>
    </row>
    <row r="22" spans="4:11" x14ac:dyDescent="0.25">
      <c r="J22" s="6" t="s">
        <v>65</v>
      </c>
      <c r="K22" s="10">
        <v>2960</v>
      </c>
    </row>
    <row r="23" spans="4:11" x14ac:dyDescent="0.25">
      <c r="J23" s="6" t="s">
        <v>71</v>
      </c>
      <c r="K23" s="10">
        <v>5084</v>
      </c>
    </row>
    <row r="24" spans="4:11" x14ac:dyDescent="0.25">
      <c r="J24" s="6" t="s">
        <v>69</v>
      </c>
      <c r="K24" s="10">
        <v>3401</v>
      </c>
    </row>
    <row r="25" spans="4:11" x14ac:dyDescent="0.25">
      <c r="J25" s="6" t="s">
        <v>107</v>
      </c>
      <c r="K25" s="10">
        <v>39148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AACF0-DF67-4E38-8ED2-905E6A7BF2AF}">
  <dimension ref="A1:W62"/>
  <sheetViews>
    <sheetView showGridLines="0" zoomScaleNormal="100" workbookViewId="0">
      <selection activeCell="N27" sqref="N27"/>
    </sheetView>
  </sheetViews>
  <sheetFormatPr defaultRowHeight="13.8" x14ac:dyDescent="0.25"/>
  <cols>
    <col min="12" max="12" width="15.69921875" customWidth="1"/>
    <col min="13" max="13" width="8.796875" customWidth="1"/>
  </cols>
  <sheetData>
    <row r="1" spans="1:23" ht="46.8" customHeight="1" x14ac:dyDescent="0.25">
      <c r="A1" s="11" t="s">
        <v>120</v>
      </c>
      <c r="B1" s="11"/>
      <c r="C1" s="11"/>
      <c r="D1" s="11"/>
      <c r="E1" s="11"/>
      <c r="F1" s="11"/>
      <c r="G1" s="11"/>
      <c r="H1" s="11"/>
      <c r="I1" s="11"/>
      <c r="J1" s="11"/>
      <c r="K1" s="11"/>
      <c r="L1" s="12"/>
      <c r="M1" s="12"/>
      <c r="N1" s="12"/>
      <c r="O1" s="12"/>
      <c r="P1" s="12"/>
      <c r="Q1" s="12"/>
      <c r="R1" s="12"/>
      <c r="S1" s="12"/>
      <c r="T1" s="12"/>
      <c r="U1" s="12"/>
      <c r="V1" s="12"/>
      <c r="W1" s="12"/>
    </row>
    <row r="62" spans="2:2" ht="14.4" x14ac:dyDescent="0.3">
      <c r="B62" s="8"/>
    </row>
  </sheetData>
  <mergeCells count="1">
    <mergeCell ref="A1:K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Lists</vt:lpstr>
      <vt:lpstr>Sales_Data</vt:lpstr>
      <vt:lpstr>Sheet1</vt:lpstr>
      <vt:lpstr>Pivot</vt:lpstr>
      <vt:lpstr>Dashboard</vt:lpstr>
      <vt:lpstr>tblCities</vt:lpstr>
      <vt:lpstr>tblCoffeeSales</vt:lpstr>
      <vt:lpstr>tblOrdertype</vt:lpstr>
      <vt:lpstr>tblPayment</vt:lpstr>
      <vt:lpstr>tblProducts</vt:lpstr>
      <vt:lpstr>tblRating</vt:lpstr>
      <vt:lpstr>tblSalespersons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akanksha naik</dc:creator>
  <cp:lastModifiedBy>akanksha naik</cp:lastModifiedBy>
  <dcterms:created xsi:type="dcterms:W3CDTF">2026-07-21T18:12:52Z</dcterms:created>
  <dcterms:modified xsi:type="dcterms:W3CDTF">2026-07-22T18:08:11Z</dcterms:modified>
</cp:coreProperties>
</file>